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Cases" sheetId="1" state="visible" r:id="rId1"/>
    <sheet xmlns:r="http://schemas.openxmlformats.org/officeDocument/2006/relationships" name="API Test Cases" sheetId="2" state="visible" r:id="rId2"/>
    <sheet xmlns:r="http://schemas.openxmlformats.org/officeDocument/2006/relationships" name="Summary" sheetId="3" state="visible" r:id="rId3"/>
  </sheets>
  <definedNames>
    <definedName name="_xlnm._FilterDatabase" localSheetId="1" hidden="1">'API Test Cases'!$A$8:$O$16</definedName>
  </definedNames>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i val="1"/>
      <color rgb="001F1F1F"/>
      <sz val="11"/>
    </font>
    <font>
      <b val="1"/>
      <color rgb="001F4E78"/>
    </font>
    <font>
      <b val="1"/>
      <color rgb="00FFFFFF"/>
    </font>
    <font>
      <b val="1"/>
      <color rgb="001F1F1F"/>
      <sz val="18"/>
    </font>
  </fonts>
  <fills count="8">
    <fill>
      <patternFill/>
    </fill>
    <fill>
      <patternFill patternType="gray125"/>
    </fill>
    <fill>
      <patternFill patternType="solid">
        <fgColor rgb="001F4E78"/>
      </patternFill>
    </fill>
    <fill>
      <patternFill patternType="solid">
        <fgColor rgb="00F3F5F7"/>
      </patternFill>
    </fill>
    <fill>
      <patternFill patternType="solid">
        <fgColor rgb="00EAF3FA"/>
      </patternFill>
    </fill>
    <fill>
      <patternFill patternType="solid">
        <fgColor rgb="00DFF2F1"/>
      </patternFill>
    </fill>
    <fill>
      <patternFill patternType="solid">
        <fgColor rgb="00FCE4D6"/>
      </patternFill>
    </fill>
    <fill>
      <patternFill patternType="solid">
        <fgColor rgb="00E2F0D9"/>
      </patternFill>
    </fill>
  </fills>
  <borders count="4">
    <border>
      <left/>
      <right/>
      <top/>
      <bottom/>
      <diagonal/>
    </border>
    <border>
      <bottom style="thin">
        <color rgb="00C9D2DB"/>
      </bottom>
    </border>
    <border>
      <left/>
      <right/>
      <top/>
      <bottom style="thin">
        <color rgb="00C9D2DB"/>
      </bottom>
      <diagonal/>
    </border>
    <border>
      <right/>
      <bottom style="thin">
        <color rgb="00C9D2DB"/>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3" fillId="4" borderId="1" pivotButton="0" quotePrefix="0" xfId="0"/>
    <xf numFmtId="0" fontId="0" fillId="0" borderId="1" applyAlignment="1" pivotButton="0" quotePrefix="0" xfId="0">
      <alignment wrapText="1"/>
    </xf>
    <xf numFmtId="0" fontId="0" fillId="0" borderId="2" pivotButton="0" quotePrefix="0" xfId="0"/>
    <xf numFmtId="0" fontId="4" fillId="2" borderId="1"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3" borderId="0" applyAlignment="1" pivotButton="0" quotePrefix="0" xfId="0">
      <alignment wrapText="1"/>
    </xf>
    <xf numFmtId="0" fontId="3" fillId="3" borderId="0" pivotButton="0" quotePrefix="0" xfId="0"/>
    <xf numFmtId="0" fontId="5" fillId="5" borderId="0" applyAlignment="1" pivotButton="0" quotePrefix="0" xfId="0">
      <alignment horizontal="center"/>
    </xf>
    <xf numFmtId="0" fontId="5" fillId="6" borderId="0" applyAlignment="1" pivotButton="0" quotePrefix="0" xfId="0">
      <alignment horizontal="center"/>
    </xf>
    <xf numFmtId="0" fontId="5" fillId="7" borderId="0" applyAlignment="1" pivotButton="0" quotePrefix="0" xfId="0">
      <alignment horizontal="center"/>
    </xf>
    <xf numFmtId="0" fontId="5" fillId="4" borderId="0" applyAlignment="1" pivotButton="0" quotePrefix="0" xfId="0">
      <alignment horizontal="center"/>
    </xf>
    <xf numFmtId="0" fontId="4" fillId="2" borderId="0" applyAlignment="1" pivotButton="0" quotePrefix="0" xfId="0">
      <alignment horizontal="center"/>
    </xf>
    <xf numFmtId="0" fontId="4" fillId="2" borderId="0" pivotButton="0" quotePrefix="0" xfId="0"/>
    <xf numFmtId="0" fontId="0" fillId="4" borderId="0" applyAlignment="1" pivotButton="0" quotePrefix="0" xfId="0">
      <alignment vertical="center" wrapText="1"/>
    </xf>
    <xf numFmtId="0" fontId="0" fillId="5" borderId="0" pivotButton="0" quotePrefix="0" xfId="0"/>
    <xf numFmtId="0" fontId="0" fillId="0" borderId="0" applyAlignment="1" pivotButton="0" quotePrefix="0" xfId="0">
      <alignment vertical="center" wrapText="1"/>
    </xf>
    <xf numFmtId="0" fontId="0" fillId="0" borderId="3" applyAlignment="1" pivotButton="0" quotePrefix="0" xfId="0">
      <alignment wrapText="1"/>
    </xf>
  </cellXfs>
  <cellStyles count="1">
    <cellStyle name="Normal" xfId="0"/>
  </cellStyles>
  <dxfs count="5">
    <dxf>
      <fill>
        <patternFill>
          <bgColor rgb="00E2F0D9"/>
        </patternFill>
      </fill>
    </dxf>
    <dxf>
      <fill>
        <patternFill>
          <bgColor rgb="00FDE9E7"/>
        </patternFill>
      </fill>
    </dxf>
    <dxf>
      <fill>
        <patternFill>
          <bgColor rgb="00FCE4D6"/>
        </patternFill>
      </fill>
    </dxf>
    <dxf>
      <fill>
        <patternFill>
          <bgColor rgb="00F3F5F7"/>
        </patternFill>
      </fill>
    </dxf>
    <dxf>
      <fill>
        <patternFill>
          <bgColor rgb="00EAF3FA"/>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OpenAI</author>
  </authors>
  <commentList>
    <comment ref="B3" authorId="0" shapeId="0">
      <text>
        <t>Source under test: https://www.saucedemo.com/</t>
      </text>
    </comment>
    <comment ref="N8" authorId="0" shapeId="0">
      <text>
        <t>Use the dropdown to track manual execution status.</t>
      </text>
    </comment>
    <comment ref="O8" authorId="0" shapeId="0">
      <text>
        <t>Record observed results, defects, or links to evidence/screenshots.</t>
      </text>
    </comment>
  </commentList>
</comments>
</file>

<file path=xl/tables/table1.xml><?xml version="1.0" encoding="utf-8"?>
<table xmlns="http://schemas.openxmlformats.org/spreadsheetml/2006/main" id="1" name="SauceDemoCases" displayName="SauceDemoCases" ref="A8:O18" headerRowCount="1">
  <autoFilter ref="A8:O18"/>
  <tableColumns count="15">
    <tableColumn id="1" name="Test Case ID"/>
    <tableColumn id="2" name="Suite"/>
    <tableColumn id="3" name="Scenario / Title"/>
    <tableColumn id="4" name="Priority"/>
    <tableColumn id="5" name="Test Type"/>
    <tableColumn id="6" name="Objective"/>
    <tableColumn id="7" name="Preconditions"/>
    <tableColumn id="8" name="Test Data"/>
    <tableColumn id="9" name="Steps"/>
    <tableColumn id="10" name="Expected Result"/>
    <tableColumn id="11" name="Automation Candidate"/>
    <tableColumn id="12" name="Future Pytest File"/>
    <tableColumn id="13" name="Likely Page Object(s)"/>
    <tableColumn id="14" name="Execution Status"/>
    <tableColumn id="15" name="Execution Notes"/>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1F4E78"/>
    <outlinePr summaryBelow="1" summaryRight="1"/>
    <pageSetUpPr/>
  </sheetPr>
  <dimension ref="A1:O18"/>
  <sheetViews>
    <sheetView showGridLines="0" workbookViewId="0">
      <selection activeCell="A1" sqref="A1"/>
    </sheetView>
  </sheetViews>
  <sheetFormatPr baseColWidth="8" defaultRowHeight="15"/>
  <cols>
    <col width="19" customWidth="1" min="1" max="1"/>
    <col width="15" customWidth="1" min="2" max="2"/>
    <col width="34" customWidth="1" min="3" max="3"/>
    <col width="11" customWidth="1" min="4" max="4"/>
    <col width="24" customWidth="1" min="5" max="5"/>
    <col width="34" customWidth="1" min="6" max="6"/>
    <col width="30" customWidth="1" min="7" max="7"/>
    <col width="24" customWidth="1" min="8" max="8"/>
    <col width="40" customWidth="1" min="9" max="9"/>
    <col width="34" customWidth="1" min="10" max="10"/>
    <col width="16" customWidth="1" min="11" max="11"/>
    <col width="22" customWidth="1" min="12" max="12"/>
    <col width="30" customWidth="1" min="13" max="13"/>
    <col width="16" customWidth="1" min="14" max="14"/>
    <col width="30" customWidth="1" min="15" max="15"/>
  </cols>
  <sheetData>
    <row r="1" ht="24" customHeight="1">
      <c r="A1" s="1" t="inlineStr">
        <is>
          <t>SauceDemo Manual Test Case Matrix</t>
        </is>
      </c>
    </row>
    <row r="2" ht="32" customHeight="1">
      <c r="A2" s="2" t="inlineStr">
        <is>
          <t>Portfolio-ready manual cases organized for later Selenium WebDriver + Python automation (pytest + Page Object Model aligned)</t>
        </is>
      </c>
    </row>
    <row r="3">
      <c r="A3" s="3" t="inlineStr">
        <is>
          <t>Application Under Test</t>
        </is>
      </c>
      <c r="B3" s="20" t="inlineStr">
        <is>
          <t>https://www.saucedemo.com/</t>
        </is>
      </c>
      <c r="C3" s="5" t="n"/>
      <c r="D3" s="5" t="n"/>
      <c r="E3" s="5" t="n"/>
      <c r="F3" s="5" t="n"/>
      <c r="G3" s="5" t="n"/>
      <c r="H3" s="5" t="n"/>
      <c r="I3" s="5" t="n"/>
      <c r="J3" s="5" t="n"/>
      <c r="K3" s="5" t="n"/>
      <c r="L3" s="5" t="n"/>
      <c r="M3" s="5" t="n"/>
      <c r="N3" s="5" t="n"/>
      <c r="O3" s="5" t="n"/>
    </row>
    <row r="4">
      <c r="A4" s="3" t="inlineStr">
        <is>
          <t>Framework Mapping</t>
        </is>
      </c>
      <c r="B4" s="20" t="inlineStr">
        <is>
          <t>tests/ + pages/ + conftest.py (aligned to QA_Portfolio_Folder structure)</t>
        </is>
      </c>
      <c r="C4" s="5" t="n"/>
      <c r="D4" s="5" t="n"/>
      <c r="E4" s="5" t="n"/>
      <c r="F4" s="5" t="n"/>
      <c r="G4" s="5" t="n"/>
      <c r="H4" s="5" t="n"/>
      <c r="I4" s="5" t="n"/>
      <c r="J4" s="5" t="n"/>
      <c r="K4" s="5" t="n"/>
      <c r="L4" s="5" t="n"/>
      <c r="M4" s="5" t="n"/>
      <c r="N4" s="5" t="n"/>
      <c r="O4" s="5" t="n"/>
    </row>
    <row r="5">
      <c r="A5" s="3" t="inlineStr">
        <is>
          <t>Prepared For</t>
        </is>
      </c>
      <c r="B5" s="20" t="inlineStr">
        <is>
          <t>QA Analyst / QA Automation portfolio development</t>
        </is>
      </c>
      <c r="C5" s="5" t="n"/>
      <c r="D5" s="5" t="n"/>
      <c r="E5" s="5" t="n"/>
      <c r="F5" s="5" t="n"/>
      <c r="G5" s="5" t="n"/>
      <c r="H5" s="5" t="n"/>
      <c r="I5" s="5" t="n"/>
      <c r="J5" s="5" t="n"/>
      <c r="K5" s="5" t="n"/>
      <c r="L5" s="5" t="n"/>
      <c r="M5" s="5" t="n"/>
      <c r="N5" s="5" t="n"/>
      <c r="O5" s="5" t="n"/>
    </row>
    <row r="6">
      <c r="A6" s="3" t="inlineStr">
        <is>
          <t>Document Date</t>
        </is>
      </c>
      <c r="B6" s="20" t="inlineStr">
        <is>
          <t>2026-03-23</t>
        </is>
      </c>
      <c r="C6" s="5" t="n"/>
      <c r="D6" s="5" t="n"/>
      <c r="E6" s="5" t="n"/>
      <c r="F6" s="5" t="n"/>
      <c r="G6" s="5" t="n"/>
      <c r="H6" s="5" t="n"/>
      <c r="I6" s="5" t="n"/>
      <c r="J6" s="5" t="n"/>
      <c r="K6" s="5" t="n"/>
      <c r="L6" s="5" t="n"/>
      <c r="M6" s="5" t="n"/>
      <c r="N6" s="5" t="n"/>
      <c r="O6" s="5" t="n"/>
    </row>
    <row r="7"/>
    <row r="8">
      <c r="A8" s="6" t="inlineStr">
        <is>
          <t>Test Case ID</t>
        </is>
      </c>
      <c r="B8" s="6" t="inlineStr">
        <is>
          <t>Suite</t>
        </is>
      </c>
      <c r="C8" s="6" t="inlineStr">
        <is>
          <t>Scenario / Title</t>
        </is>
      </c>
      <c r="D8" s="6" t="inlineStr">
        <is>
          <t>Priority</t>
        </is>
      </c>
      <c r="E8" s="6" t="inlineStr">
        <is>
          <t>Test Type</t>
        </is>
      </c>
      <c r="F8" s="6" t="inlineStr">
        <is>
          <t>Objective</t>
        </is>
      </c>
      <c r="G8" s="6" t="inlineStr">
        <is>
          <t>Preconditions</t>
        </is>
      </c>
      <c r="H8" s="6" t="inlineStr">
        <is>
          <t>Test Data</t>
        </is>
      </c>
      <c r="I8" s="6" t="inlineStr">
        <is>
          <t>Steps</t>
        </is>
      </c>
      <c r="J8" s="6" t="inlineStr">
        <is>
          <t>Expected Result</t>
        </is>
      </c>
      <c r="K8" s="6" t="inlineStr">
        <is>
          <t>Automation Candidate</t>
        </is>
      </c>
      <c r="L8" s="6" t="inlineStr">
        <is>
          <t>Future Pytest File</t>
        </is>
      </c>
      <c r="M8" s="6" t="inlineStr">
        <is>
          <t>Likely Page Object(s)</t>
        </is>
      </c>
      <c r="N8" s="6" t="inlineStr">
        <is>
          <t>Execution Status</t>
        </is>
      </c>
      <c r="O8" s="6" t="inlineStr">
        <is>
          <t>Execution Notes</t>
        </is>
      </c>
    </row>
    <row r="9" ht="84" customHeight="1">
      <c r="A9" s="7" t="inlineStr">
        <is>
          <t>TC_LOGIN_001</t>
        </is>
      </c>
      <c r="B9" s="8" t="inlineStr">
        <is>
          <t>Authentication</t>
        </is>
      </c>
      <c r="C9" s="8" t="inlineStr">
        <is>
          <t>Successful login with valid standard user</t>
        </is>
      </c>
      <c r="D9" s="7" t="inlineStr">
        <is>
          <t>High</t>
        </is>
      </c>
      <c r="E9" s="8" t="inlineStr">
        <is>
          <t>Positive / Functional</t>
        </is>
      </c>
      <c r="F9" s="8" t="inlineStr">
        <is>
          <t>Verify that a valid standard user can successfully log in and reach the inventory page.</t>
        </is>
      </c>
      <c r="G9" s="8" t="inlineStr">
        <is>
          <t>• User is on the SauceDemo login page.
• Valid credentials are available.</t>
        </is>
      </c>
      <c r="H9" s="8" t="inlineStr">
        <is>
          <t>Username: standard_user
Password: secret_sauce</t>
        </is>
      </c>
      <c r="I9" s="8" t="inlineStr">
        <is>
          <t>1. Open the SauceDemo login page.
2. Enter username standard_user.
3. Enter the valid password.
4. Click the Login button.</t>
        </is>
      </c>
      <c r="J9" s="8" t="inlineStr">
        <is>
          <t>• User is redirected to the inventory page.
• Product list is displayed.
• No error message is shown.</t>
        </is>
      </c>
      <c r="K9" s="7" t="inlineStr">
        <is>
          <t>Yes</t>
        </is>
      </c>
      <c r="L9" s="8" t="inlineStr">
        <is>
          <t>tests/test_login.py</t>
        </is>
      </c>
      <c r="M9" s="8" t="inlineStr">
        <is>
          <t>pages/login_page.py</t>
        </is>
      </c>
      <c r="N9" s="7" t="inlineStr">
        <is>
          <t>Not Run</t>
        </is>
      </c>
      <c r="O9" s="8" t="inlineStr">
        <is>
          <t>Great candidate for a reusable login fixture/helper.</t>
        </is>
      </c>
    </row>
    <row r="10" ht="84" customHeight="1">
      <c r="A10" s="7" t="inlineStr">
        <is>
          <t>TC_LOGIN_002</t>
        </is>
      </c>
      <c r="B10" s="8" t="inlineStr">
        <is>
          <t>Authentication</t>
        </is>
      </c>
      <c r="C10" s="8" t="inlineStr">
        <is>
          <t>Locked-out user is denied access</t>
        </is>
      </c>
      <c r="D10" s="7" t="inlineStr">
        <is>
          <t>High</t>
        </is>
      </c>
      <c r="E10" s="8" t="inlineStr">
        <is>
          <t>Negative / Security</t>
        </is>
      </c>
      <c r="F10" s="8" t="inlineStr">
        <is>
          <t>Verify that a locked-out user is prevented from logging in and receives the correct error feedback.</t>
        </is>
      </c>
      <c r="G10" s="8" t="inlineStr">
        <is>
          <t>• User is on the SauceDemo login page.</t>
        </is>
      </c>
      <c r="H10" s="8" t="inlineStr">
        <is>
          <t>Username: locked_out_user
Password: secret_sauce</t>
        </is>
      </c>
      <c r="I10" s="8" t="inlineStr">
        <is>
          <t>1. Open the SauceDemo login page.
2. Enter username locked_out_user.
3. Enter the valid password.
4. Click the Login button.</t>
        </is>
      </c>
      <c r="J10" s="8" t="inlineStr">
        <is>
          <t>• Login is denied.
• User remains on the login page.
• An appropriate error message is displayed.</t>
        </is>
      </c>
      <c r="K10" s="7" t="inlineStr">
        <is>
          <t>Yes</t>
        </is>
      </c>
      <c r="L10" s="8" t="inlineStr">
        <is>
          <t>tests/test_login.py</t>
        </is>
      </c>
      <c r="M10" s="8" t="inlineStr">
        <is>
          <t>pages/login_page.py</t>
        </is>
      </c>
      <c r="N10" s="7" t="inlineStr">
        <is>
          <t>Not Run</t>
        </is>
      </c>
      <c r="O10" s="8" t="inlineStr">
        <is>
          <t>Strong negative-auth coverage for access control.</t>
        </is>
      </c>
    </row>
    <row r="11" ht="84" customHeight="1">
      <c r="A11" s="7" t="inlineStr">
        <is>
          <t>TC_INV_001</t>
        </is>
      </c>
      <c r="B11" s="8" t="inlineStr">
        <is>
          <t>Inventory</t>
        </is>
      </c>
      <c r="C11" s="8" t="inlineStr">
        <is>
          <t>Products can be sorted by price low to high</t>
        </is>
      </c>
      <c r="D11" s="7" t="inlineStr">
        <is>
          <t>Medium</t>
        </is>
      </c>
      <c r="E11" s="8" t="inlineStr">
        <is>
          <t>Functional / Data Validation</t>
        </is>
      </c>
      <c r="F11" s="8" t="inlineStr">
        <is>
          <t>Verify that inventory items are correctly sorted in ascending price order.</t>
        </is>
      </c>
      <c r="G11" s="8" t="inlineStr">
        <is>
          <t>• User is logged in as standard_user.
• User is on the inventory page.</t>
        </is>
      </c>
      <c r="H11" s="8" t="inlineStr">
        <is>
          <t>User: standard_user
Sort Option: Price (low to high)</t>
        </is>
      </c>
      <c r="I11" s="8" t="inlineStr">
        <is>
          <t>1. Log in as standard_user.
2. Locate the product sort dropdown.
3. Select Price (low to high).
4. Observe the order of displayed product prices.</t>
        </is>
      </c>
      <c r="J11" s="8" t="inlineStr">
        <is>
          <t>• Products are displayed in ascending price order.
• No products are missing after sorting.
• Product cards remain visible and usable.</t>
        </is>
      </c>
      <c r="K11" s="7" t="inlineStr">
        <is>
          <t>Yes</t>
        </is>
      </c>
      <c r="L11" s="8" t="inlineStr">
        <is>
          <t>tests/test_inventory.py</t>
        </is>
      </c>
      <c r="M11" s="8" t="inlineStr">
        <is>
          <t>pages/login_page.py; pages/inventory_page.py</t>
        </is>
      </c>
      <c r="N11" s="7" t="inlineStr">
        <is>
          <t>Not Run</t>
        </is>
      </c>
      <c r="O11" s="8" t="inlineStr">
        <is>
          <t>Excellent Python assertion case for list extraction and ordering.</t>
        </is>
      </c>
    </row>
    <row r="12" ht="84" customHeight="1">
      <c r="A12" s="7" t="inlineStr">
        <is>
          <t>TC_INV_002</t>
        </is>
      </c>
      <c r="B12" s="8" t="inlineStr">
        <is>
          <t>Inventory</t>
        </is>
      </c>
      <c r="C12" s="8" t="inlineStr">
        <is>
          <t>Product details page shows matching item information</t>
        </is>
      </c>
      <c r="D12" s="7" t="inlineStr">
        <is>
          <t>Medium</t>
        </is>
      </c>
      <c r="E12" s="8" t="inlineStr">
        <is>
          <t>Functional / Navigation</t>
        </is>
      </c>
      <c r="F12" s="8" t="inlineStr">
        <is>
          <t>Verify that selecting a product opens the correct details page and displays matching product information.</t>
        </is>
      </c>
      <c r="G12" s="8" t="inlineStr">
        <is>
          <t>• User is logged in as standard_user.
• User is on the inventory page.</t>
        </is>
      </c>
      <c r="H12" s="8" t="inlineStr">
        <is>
          <t>Any one inventory item</t>
        </is>
      </c>
      <c r="I12" s="8" t="inlineStr">
        <is>
          <t>1. Log in as standard_user.
2. Click a product name or image.
3. Observe the product details page.
4. Compare name, description, and price against the inventory card.
5. Click Back to products.</t>
        </is>
      </c>
      <c r="J12" s="8" t="inlineStr">
        <is>
          <t>• Product details page opens successfully.
• Name, description, and price match the selected item.
• User can navigate back to the inventory page.</t>
        </is>
      </c>
      <c r="K12" s="7" t="inlineStr">
        <is>
          <t>Yes</t>
        </is>
      </c>
      <c r="L12" s="8" t="inlineStr">
        <is>
          <t>tests/test_inventory.py</t>
        </is>
      </c>
      <c r="M12" s="8" t="inlineStr">
        <is>
          <t>pages/inventory_page.py</t>
        </is>
      </c>
      <c r="N12" s="7" t="inlineStr">
        <is>
          <t>Not Run</t>
        </is>
      </c>
      <c r="O12" s="8" t="inlineStr">
        <is>
          <t>Good page-transition and data-consistency test.</t>
        </is>
      </c>
    </row>
    <row r="13" ht="84" customHeight="1">
      <c r="A13" s="7" t="inlineStr">
        <is>
          <t>TC_CART_001</t>
        </is>
      </c>
      <c r="B13" s="8" t="inlineStr">
        <is>
          <t>Cart</t>
        </is>
      </c>
      <c r="C13" s="8" t="inlineStr">
        <is>
          <t>Add one item to cart and verify badge + cart contents</t>
        </is>
      </c>
      <c r="D13" s="7" t="inlineStr">
        <is>
          <t>High</t>
        </is>
      </c>
      <c r="E13" s="8" t="inlineStr">
        <is>
          <t>Positive / State Validation</t>
        </is>
      </c>
      <c r="F13" s="8" t="inlineStr">
        <is>
          <t>Verify that a user can add a single item to the cart and that cart indicators update correctly.</t>
        </is>
      </c>
      <c r="G13" s="8" t="inlineStr">
        <is>
          <t>• User is logged in as standard_user.
• User is on the inventory page.</t>
        </is>
      </c>
      <c r="H13" s="8" t="inlineStr">
        <is>
          <t>Any one inventory item</t>
        </is>
      </c>
      <c r="I13" s="8" t="inlineStr">
        <is>
          <t>1. Log in as standard_user.
2. Select one inventory item.
3. Click Add to cart.
4. Observe the cart badge.
5. Open the cart page.</t>
        </is>
      </c>
      <c r="J13" s="8" t="inlineStr">
        <is>
          <t>• Cart badge updates to reflect 1 item.
• The selected product appears in the cart.
• Product information matches the selected inventory item.</t>
        </is>
      </c>
      <c r="K13" s="7" t="inlineStr">
        <is>
          <t>Yes</t>
        </is>
      </c>
      <c r="L13" s="8" t="inlineStr">
        <is>
          <t>tests/test_cart.py</t>
        </is>
      </c>
      <c r="M13" s="8" t="inlineStr">
        <is>
          <t>pages/inventory_page.py; pages/cart_page.py</t>
        </is>
      </c>
      <c r="N13" s="7" t="inlineStr">
        <is>
          <t>Not Run</t>
        </is>
      </c>
      <c r="O13" s="8" t="inlineStr">
        <is>
          <t>Core E2E building block; validates cross-page state.</t>
        </is>
      </c>
    </row>
    <row r="14" ht="84" customHeight="1">
      <c r="A14" s="7" t="inlineStr">
        <is>
          <t>TC_CART_002</t>
        </is>
      </c>
      <c r="B14" s="8" t="inlineStr">
        <is>
          <t>Cart</t>
        </is>
      </c>
      <c r="C14" s="8" t="inlineStr">
        <is>
          <t>Remove item from cart and verify state is synchronized</t>
        </is>
      </c>
      <c r="D14" s="7" t="inlineStr">
        <is>
          <t>High</t>
        </is>
      </c>
      <c r="E14" s="8" t="inlineStr">
        <is>
          <t>Functional / State Validation</t>
        </is>
      </c>
      <c r="F14" s="8" t="inlineStr">
        <is>
          <t>Verify that an item can be removed from the cart and that the UI state is updated correctly.</t>
        </is>
      </c>
      <c r="G14" s="8" t="inlineStr">
        <is>
          <t>• User is logged in as standard_user.
• At least one item has already been added to the cart.</t>
        </is>
      </c>
      <c r="H14" s="8" t="inlineStr">
        <is>
          <t>One item already present in cart</t>
        </is>
      </c>
      <c r="I14" s="8" t="inlineStr">
        <is>
          <t>1. Log in as standard_user.
2. Add one item to the cart.
3. Open the cart page.
4. Click Remove for the item.</t>
        </is>
      </c>
      <c r="J14" s="8" t="inlineStr">
        <is>
          <t>• Item is removed from the cart.
• Cart badge updates or disappears appropriately.
• Removed item no longer appears in the cart.</t>
        </is>
      </c>
      <c r="K14" s="7" t="inlineStr">
        <is>
          <t>Yes</t>
        </is>
      </c>
      <c r="L14" s="8" t="inlineStr">
        <is>
          <t>tests/test_cart.py</t>
        </is>
      </c>
      <c r="M14" s="8" t="inlineStr">
        <is>
          <t>pages/inventory_page.py; pages/cart_page.py</t>
        </is>
      </c>
      <c r="N14" s="7" t="inlineStr">
        <is>
          <t>Not Run</t>
        </is>
      </c>
      <c r="O14" s="8" t="inlineStr">
        <is>
          <t>Validates reverse action and clean state handling.</t>
        </is>
      </c>
    </row>
    <row r="15" ht="84" customHeight="1">
      <c r="A15" s="7" t="inlineStr">
        <is>
          <t>TC_CART_003</t>
        </is>
      </c>
      <c r="B15" s="8" t="inlineStr">
        <is>
          <t>Cart</t>
        </is>
      </c>
      <c r="C15" s="8" t="inlineStr">
        <is>
          <t>Reset App State clears cart-related state</t>
        </is>
      </c>
      <c r="D15" s="7" t="inlineStr">
        <is>
          <t>Medium</t>
        </is>
      </c>
      <c r="E15" s="8" t="inlineStr">
        <is>
          <t>Functional / State Management</t>
        </is>
      </c>
      <c r="F15" s="8" t="inlineStr">
        <is>
          <t>Verify that the Reset App State option clears cart-related UI state.</t>
        </is>
      </c>
      <c r="G15" s="8" t="inlineStr">
        <is>
          <t>• User is logged in as standard_user.
• At least one item has been added to the cart.</t>
        </is>
      </c>
      <c r="H15" s="8" t="inlineStr">
        <is>
          <t>One or more cart items</t>
        </is>
      </c>
      <c r="I15" s="8" t="inlineStr">
        <is>
          <t>1. Log in as standard_user.
2. Add one or more items to the cart.
3. Open the side menu.
4. Click Reset App State.
5. Return to inventory and cart views.</t>
        </is>
      </c>
      <c r="J15" s="8" t="inlineStr">
        <is>
          <t>• Cart badge is cleared.
• Previously selected items are no longer active in cart state.
• App returns to a default browsing state.</t>
        </is>
      </c>
      <c r="K15" s="7" t="inlineStr">
        <is>
          <t>Yes</t>
        </is>
      </c>
      <c r="L15" s="8" t="inlineStr">
        <is>
          <t>tests/test_cart.py</t>
        </is>
      </c>
      <c r="M15" s="8" t="inlineStr">
        <is>
          <t>pages/inventory_page.py; pages/cart_page.py</t>
        </is>
      </c>
      <c r="N15" s="7" t="inlineStr">
        <is>
          <t>Not Run</t>
        </is>
      </c>
      <c r="O15" s="8" t="inlineStr">
        <is>
          <t>Useful for state cleanup and test-isolation strategy.</t>
        </is>
      </c>
    </row>
    <row r="16" ht="84" customHeight="1">
      <c r="A16" s="7" t="inlineStr">
        <is>
          <t>TC_CHECKOUT_001</t>
        </is>
      </c>
      <c r="B16" s="8" t="inlineStr">
        <is>
          <t>Checkout</t>
        </is>
      </c>
      <c r="C16" s="8" t="inlineStr">
        <is>
          <t>Successful checkout with valid customer information</t>
        </is>
      </c>
      <c r="D16" s="7" t="inlineStr">
        <is>
          <t>High</t>
        </is>
      </c>
      <c r="E16" s="8" t="inlineStr">
        <is>
          <t>End-to-End Positive</t>
        </is>
      </c>
      <c r="F16" s="8" t="inlineStr">
        <is>
          <t>Verify that a user can complete the checkout process successfully with valid data.</t>
        </is>
      </c>
      <c r="G16" s="8" t="inlineStr">
        <is>
          <t>• User is logged in as standard_user.
• At least one item is in the cart.</t>
        </is>
      </c>
      <c r="H16" s="8" t="inlineStr">
        <is>
          <t>First Name: valid
Last Name: valid
Zip Code: valid
Cart: one item</t>
        </is>
      </c>
      <c r="I16" s="8" t="inlineStr">
        <is>
          <t>1. Log in as standard_user.
2. Add one item to the cart.
3. Open the cart.
4. Click Checkout.
5. Enter valid first name, last name, and zip code.
6. Click Continue.
7. Review checkout overview.
8. Click Finish.</t>
        </is>
      </c>
      <c r="J16" s="8" t="inlineStr">
        <is>
          <t>• Checkout completes successfully.
• Confirmation page is displayed.
• User sees a success / thank-you message.</t>
        </is>
      </c>
      <c r="K16" s="7" t="inlineStr">
        <is>
          <t>Yes</t>
        </is>
      </c>
      <c r="L16" s="8" t="inlineStr">
        <is>
          <t>tests/test_checkout.py</t>
        </is>
      </c>
      <c r="M16" s="8" t="inlineStr">
        <is>
          <t>pages/inventory_page.py; pages/cart_page.py; pages/checkout_page.py</t>
        </is>
      </c>
      <c r="N16" s="7" t="inlineStr">
        <is>
          <t>Not Run</t>
        </is>
      </c>
      <c r="O16" s="8" t="inlineStr">
        <is>
          <t>Best single end-to-end showcase case for the portfolio.</t>
        </is>
      </c>
    </row>
    <row r="17" ht="84" customHeight="1">
      <c r="A17" s="7" t="inlineStr">
        <is>
          <t>TC_CHECKOUT_002</t>
        </is>
      </c>
      <c r="B17" s="8" t="inlineStr">
        <is>
          <t>Checkout</t>
        </is>
      </c>
      <c r="C17" s="8" t="inlineStr">
        <is>
          <t>Checkout blocks progress when first name is blank</t>
        </is>
      </c>
      <c r="D17" s="7" t="inlineStr">
        <is>
          <t>High</t>
        </is>
      </c>
      <c r="E17" s="8" t="inlineStr">
        <is>
          <t>Negative / Validation</t>
        </is>
      </c>
      <c r="F17" s="8" t="inlineStr">
        <is>
          <t>Verify that checkout cannot proceed when the first name field is left blank.</t>
        </is>
      </c>
      <c r="G17" s="8" t="inlineStr">
        <is>
          <t>• User is logged in as standard_user.
• At least one item is in the cart.
• User is on checkout step one.</t>
        </is>
      </c>
      <c r="H17" s="8" t="inlineStr">
        <is>
          <t>First Name: blank
Last Name: valid
Zip Code: valid</t>
        </is>
      </c>
      <c r="I17" s="8" t="inlineStr">
        <is>
          <t>1. Log in as standard_user.
2. Add one item to the cart.
3. Open the cart.
4. Click Checkout.
5. Leave First Name blank.
6. Enter valid values for last name and zip code.
7. Click Continue.</t>
        </is>
      </c>
      <c r="J17" s="8" t="inlineStr">
        <is>
          <t>• User cannot proceed to the next checkout step.
• A validation error message is displayed.
• User remains on checkout information page.</t>
        </is>
      </c>
      <c r="K17" s="7" t="inlineStr">
        <is>
          <t>Yes</t>
        </is>
      </c>
      <c r="L17" s="8" t="inlineStr">
        <is>
          <t>tests/test_checkout.py</t>
        </is>
      </c>
      <c r="M17" s="8" t="inlineStr">
        <is>
          <t>pages/inventory_page.py; pages/cart_page.py; pages/checkout_page.py</t>
        </is>
      </c>
      <c r="N17" s="7" t="inlineStr">
        <is>
          <t>Not Run</t>
        </is>
      </c>
      <c r="O17" s="8" t="inlineStr">
        <is>
          <t>Good candidate for future pytest parameterization.</t>
        </is>
      </c>
    </row>
    <row r="18" ht="84" customHeight="1">
      <c r="A18" s="7" t="inlineStr">
        <is>
          <t>TC_CHECKOUT_003</t>
        </is>
      </c>
      <c r="B18" s="8" t="inlineStr">
        <is>
          <t>Checkout</t>
        </is>
      </c>
      <c r="C18" s="8" t="inlineStr">
        <is>
          <t>error_user fails or behaves unexpectedly during checkout completion</t>
        </is>
      </c>
      <c r="D18" s="7" t="inlineStr">
        <is>
          <t>Medium</t>
        </is>
      </c>
      <c r="E18" s="8" t="inlineStr">
        <is>
          <t>Defect-Oriented / Investigative</t>
        </is>
      </c>
      <c r="F18" s="8" t="inlineStr">
        <is>
          <t>Verify and document checkout behavior for error_user, especially at final checkout completion.</t>
        </is>
      </c>
      <c r="G18" s="8" t="inlineStr">
        <is>
          <t>• User is on the login page.</t>
        </is>
      </c>
      <c r="H18" s="8" t="inlineStr">
        <is>
          <t>Username: error_user
Password: secret_sauce</t>
        </is>
      </c>
      <c r="I18" s="8" t="inlineStr">
        <is>
          <t>1. Log in as error_user.
2. Add one item to the cart.
3. Proceed to checkout.
4. Enter valid checkout information.
5. Continue to overview.
6. Click Finish.
7. Observe page behavior carefully.</t>
        </is>
      </c>
      <c r="J18" s="8" t="inlineStr">
        <is>
          <t>• System behavior is documented precisely.
• If checkout fails, the failure point and message are recorded.
• If checkout succeeds, that outcome is confirmed and noted.</t>
        </is>
      </c>
      <c r="K18" s="7" t="inlineStr">
        <is>
          <t>Yes</t>
        </is>
      </c>
      <c r="L18" s="8" t="inlineStr">
        <is>
          <t>tests/test_checkout.py</t>
        </is>
      </c>
      <c r="M18" s="8" t="inlineStr">
        <is>
          <t>pages/login_page.py; pages/inventory_page.py; pages/cart_page.py; pages/checkout_page.py</t>
        </is>
      </c>
      <c r="N18" s="7" t="inlineStr">
        <is>
          <t>Not Run</t>
        </is>
      </c>
      <c r="O18" s="8" t="inlineStr">
        <is>
          <t>Strong QA Analyst case for defect reproduction and investigation.</t>
        </is>
      </c>
    </row>
  </sheetData>
  <mergeCells count="6">
    <mergeCell ref="B4:O4"/>
    <mergeCell ref="A2:O2"/>
    <mergeCell ref="B6:O6"/>
    <mergeCell ref="A1:O1"/>
    <mergeCell ref="B3:O3"/>
    <mergeCell ref="B5:O5"/>
  </mergeCells>
  <conditionalFormatting sqref="N9">
    <cfRule type="expression" priority="1" dxfId="0">
      <formula>$N9="Pass"</formula>
    </cfRule>
    <cfRule type="expression" priority="2" dxfId="1">
      <formula>$N9="Fail"</formula>
    </cfRule>
    <cfRule type="expression" priority="3" dxfId="2">
      <formula>$N9="Blocked"</formula>
    </cfRule>
    <cfRule type="expression" priority="4" dxfId="3">
      <formula>$N9="Deferred"</formula>
    </cfRule>
  </conditionalFormatting>
  <conditionalFormatting sqref="D9">
    <cfRule type="expression" priority="5" dxfId="2">
      <formula>$D9="High"</formula>
    </cfRule>
    <cfRule type="expression" priority="6" dxfId="4">
      <formula>$D9="Medium"</formula>
    </cfRule>
  </conditionalFormatting>
  <conditionalFormatting sqref="N10">
    <cfRule type="expression" priority="7" dxfId="0">
      <formula>$N10="Pass"</formula>
    </cfRule>
    <cfRule type="expression" priority="8" dxfId="1">
      <formula>$N10="Fail"</formula>
    </cfRule>
    <cfRule type="expression" priority="9" dxfId="2">
      <formula>$N10="Blocked"</formula>
    </cfRule>
    <cfRule type="expression" priority="10" dxfId="3">
      <formula>$N10="Deferred"</formula>
    </cfRule>
  </conditionalFormatting>
  <conditionalFormatting sqref="D10">
    <cfRule type="expression" priority="11" dxfId="2">
      <formula>$D10="High"</formula>
    </cfRule>
    <cfRule type="expression" priority="12" dxfId="4">
      <formula>$D10="Medium"</formula>
    </cfRule>
  </conditionalFormatting>
  <conditionalFormatting sqref="N11">
    <cfRule type="expression" priority="13" dxfId="0">
      <formula>$N11="Pass"</formula>
    </cfRule>
    <cfRule type="expression" priority="14" dxfId="1">
      <formula>$N11="Fail"</formula>
    </cfRule>
    <cfRule type="expression" priority="15" dxfId="2">
      <formula>$N11="Blocked"</formula>
    </cfRule>
    <cfRule type="expression" priority="16" dxfId="3">
      <formula>$N11="Deferred"</formula>
    </cfRule>
  </conditionalFormatting>
  <conditionalFormatting sqref="D11">
    <cfRule type="expression" priority="17" dxfId="2">
      <formula>$D11="High"</formula>
    </cfRule>
    <cfRule type="expression" priority="18" dxfId="4">
      <formula>$D11="Medium"</formula>
    </cfRule>
  </conditionalFormatting>
  <conditionalFormatting sqref="N12">
    <cfRule type="expression" priority="19" dxfId="0">
      <formula>$N12="Pass"</formula>
    </cfRule>
    <cfRule type="expression" priority="20" dxfId="1">
      <formula>$N12="Fail"</formula>
    </cfRule>
    <cfRule type="expression" priority="21" dxfId="2">
      <formula>$N12="Blocked"</formula>
    </cfRule>
    <cfRule type="expression" priority="22" dxfId="3">
      <formula>$N12="Deferred"</formula>
    </cfRule>
  </conditionalFormatting>
  <conditionalFormatting sqref="D12">
    <cfRule type="expression" priority="23" dxfId="2">
      <formula>$D12="High"</formula>
    </cfRule>
    <cfRule type="expression" priority="24" dxfId="4">
      <formula>$D12="Medium"</formula>
    </cfRule>
  </conditionalFormatting>
  <conditionalFormatting sqref="N13">
    <cfRule type="expression" priority="25" dxfId="0">
      <formula>$N13="Pass"</formula>
    </cfRule>
    <cfRule type="expression" priority="26" dxfId="1">
      <formula>$N13="Fail"</formula>
    </cfRule>
    <cfRule type="expression" priority="27" dxfId="2">
      <formula>$N13="Blocked"</formula>
    </cfRule>
    <cfRule type="expression" priority="28" dxfId="3">
      <formula>$N13="Deferred"</formula>
    </cfRule>
  </conditionalFormatting>
  <conditionalFormatting sqref="D13">
    <cfRule type="expression" priority="29" dxfId="2">
      <formula>$D13="High"</formula>
    </cfRule>
    <cfRule type="expression" priority="30" dxfId="4">
      <formula>$D13="Medium"</formula>
    </cfRule>
  </conditionalFormatting>
  <conditionalFormatting sqref="N14">
    <cfRule type="expression" priority="31" dxfId="0">
      <formula>$N14="Pass"</formula>
    </cfRule>
    <cfRule type="expression" priority="32" dxfId="1">
      <formula>$N14="Fail"</formula>
    </cfRule>
    <cfRule type="expression" priority="33" dxfId="2">
      <formula>$N14="Blocked"</formula>
    </cfRule>
    <cfRule type="expression" priority="34" dxfId="3">
      <formula>$N14="Deferred"</formula>
    </cfRule>
  </conditionalFormatting>
  <conditionalFormatting sqref="D14">
    <cfRule type="expression" priority="35" dxfId="2">
      <formula>$D14="High"</formula>
    </cfRule>
    <cfRule type="expression" priority="36" dxfId="4">
      <formula>$D14="Medium"</formula>
    </cfRule>
  </conditionalFormatting>
  <conditionalFormatting sqref="N15">
    <cfRule type="expression" priority="37" dxfId="0">
      <formula>$N15="Pass"</formula>
    </cfRule>
    <cfRule type="expression" priority="38" dxfId="1">
      <formula>$N15="Fail"</formula>
    </cfRule>
    <cfRule type="expression" priority="39" dxfId="2">
      <formula>$N15="Blocked"</formula>
    </cfRule>
    <cfRule type="expression" priority="40" dxfId="3">
      <formula>$N15="Deferred"</formula>
    </cfRule>
  </conditionalFormatting>
  <conditionalFormatting sqref="D15">
    <cfRule type="expression" priority="41" dxfId="2">
      <formula>$D15="High"</formula>
    </cfRule>
    <cfRule type="expression" priority="42" dxfId="4">
      <formula>$D15="Medium"</formula>
    </cfRule>
  </conditionalFormatting>
  <conditionalFormatting sqref="N16">
    <cfRule type="expression" priority="43" dxfId="0">
      <formula>$N16="Pass"</formula>
    </cfRule>
    <cfRule type="expression" priority="44" dxfId="1">
      <formula>$N16="Fail"</formula>
    </cfRule>
    <cfRule type="expression" priority="45" dxfId="2">
      <formula>$N16="Blocked"</formula>
    </cfRule>
    <cfRule type="expression" priority="46" dxfId="3">
      <formula>$N16="Deferred"</formula>
    </cfRule>
  </conditionalFormatting>
  <conditionalFormatting sqref="D16">
    <cfRule type="expression" priority="47" dxfId="2">
      <formula>$D16="High"</formula>
    </cfRule>
    <cfRule type="expression" priority="48" dxfId="4">
      <formula>$D16="Medium"</formula>
    </cfRule>
  </conditionalFormatting>
  <conditionalFormatting sqref="N17">
    <cfRule type="expression" priority="49" dxfId="0">
      <formula>$N17="Pass"</formula>
    </cfRule>
    <cfRule type="expression" priority="50" dxfId="1">
      <formula>$N17="Fail"</formula>
    </cfRule>
    <cfRule type="expression" priority="51" dxfId="2">
      <formula>$N17="Blocked"</formula>
    </cfRule>
    <cfRule type="expression" priority="52" dxfId="3">
      <formula>$N17="Deferred"</formula>
    </cfRule>
  </conditionalFormatting>
  <conditionalFormatting sqref="D17">
    <cfRule type="expression" priority="53" dxfId="2">
      <formula>$D17="High"</formula>
    </cfRule>
    <cfRule type="expression" priority="54" dxfId="4">
      <formula>$D17="Medium"</formula>
    </cfRule>
  </conditionalFormatting>
  <conditionalFormatting sqref="N18">
    <cfRule type="expression" priority="55" dxfId="0">
      <formula>$N18="Pass"</formula>
    </cfRule>
    <cfRule type="expression" priority="56" dxfId="1">
      <formula>$N18="Fail"</formula>
    </cfRule>
    <cfRule type="expression" priority="57" dxfId="2">
      <formula>$N18="Blocked"</formula>
    </cfRule>
    <cfRule type="expression" priority="58" dxfId="3">
      <formula>$N18="Deferred"</formula>
    </cfRule>
  </conditionalFormatting>
  <conditionalFormatting sqref="D18">
    <cfRule type="expression" priority="59" dxfId="2">
      <formula>$D18="High"</formula>
    </cfRule>
    <cfRule type="expression" priority="60" dxfId="4">
      <formula>$D18="Medium"</formula>
    </cfRule>
  </conditionalFormatting>
  <dataValidations count="1">
    <dataValidation sqref="N9:N18" showDropDown="0" showInputMessage="0" showErrorMessage="0" allowBlank="1" type="list">
      <formula1>"Not Run,Pass,Fail,Blocked,Deferred"</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16"/>
  <sheetViews>
    <sheetView workbookViewId="0">
      <pane ySplit="8" topLeftCell="A9" activePane="bottomLeft" state="frozen"/>
      <selection pane="bottomLeft" activeCell="A1" sqref="A1"/>
    </sheetView>
  </sheetViews>
  <sheetFormatPr baseColWidth="8" defaultRowHeight="15"/>
  <cols>
    <col width="19" customWidth="1" min="1" max="1"/>
    <col width="15" customWidth="1" min="2" max="2"/>
    <col width="34" customWidth="1" min="3" max="3"/>
    <col width="11" customWidth="1" min="4" max="4"/>
    <col width="24" customWidth="1" min="5" max="5"/>
    <col width="34" customWidth="1" min="6" max="6"/>
    <col width="30" customWidth="1" min="7" max="7"/>
    <col width="24" customWidth="1" min="8" max="8"/>
    <col width="40" customWidth="1" min="9" max="9"/>
    <col width="34" customWidth="1" min="10" max="10"/>
    <col width="16" customWidth="1" min="11" max="11"/>
    <col width="22" customWidth="1" min="12" max="12"/>
    <col width="30" customWidth="1" min="13" max="13"/>
    <col width="16" customWidth="1" min="14" max="14"/>
    <col width="30" customWidth="1" min="15" max="15"/>
  </cols>
  <sheetData>
    <row r="1" ht="24" customHeight="1">
      <c r="A1" s="1" t="inlineStr">
        <is>
          <t>API Test Case Matrix</t>
        </is>
      </c>
    </row>
    <row r="2" ht="32" customHeight="1">
      <c r="A2" s="2" t="inlineStr">
        <is>
          <t>Portfolio-ready API test cases aligned to the UI workflow coverage (auth, inventory, cart, checkout).</t>
        </is>
      </c>
    </row>
    <row r="3">
      <c r="A3" s="3" t="inlineStr">
        <is>
          <t>API Under Test</t>
        </is>
      </c>
      <c r="B3" s="20" t="inlineStr">
        <is>
          <t>Target service(s): SauceDemo network endpoints (if available) OR a demo REST API module used for portfolio.</t>
        </is>
      </c>
      <c r="C3" s="5" t="n"/>
      <c r="D3" s="5" t="n"/>
      <c r="E3" s="5" t="n"/>
      <c r="F3" s="5" t="n"/>
      <c r="G3" s="5" t="n"/>
      <c r="H3" s="5" t="n"/>
      <c r="I3" s="5" t="n"/>
      <c r="J3" s="5" t="n"/>
      <c r="K3" s="5" t="n"/>
      <c r="L3" s="5" t="n"/>
      <c r="M3" s="5" t="n"/>
      <c r="N3" s="5" t="n"/>
      <c r="O3" s="5" t="n"/>
    </row>
    <row r="4">
      <c r="A4" s="3" t="inlineStr">
        <is>
          <t>Framework Mapping</t>
        </is>
      </c>
      <c r="B4" s="20" t="inlineStr">
        <is>
          <t>tests/api/ + api/clients/ (pytest + requests; can run alongside UI suite)</t>
        </is>
      </c>
      <c r="C4" s="5" t="n"/>
      <c r="D4" s="5" t="n"/>
      <c r="E4" s="5" t="n"/>
      <c r="F4" s="5" t="n"/>
      <c r="G4" s="5" t="n"/>
      <c r="H4" s="5" t="n"/>
      <c r="I4" s="5" t="n"/>
      <c r="J4" s="5" t="n"/>
      <c r="K4" s="5" t="n"/>
      <c r="L4" s="5" t="n"/>
      <c r="M4" s="5" t="n"/>
      <c r="N4" s="5" t="n"/>
      <c r="O4" s="5" t="n"/>
    </row>
    <row r="5">
      <c r="A5" s="3" t="inlineStr">
        <is>
          <t>Prepared For</t>
        </is>
      </c>
      <c r="B5" s="20" t="inlineStr">
        <is>
          <t>QA Analyst / QA Automation portfolio development</t>
        </is>
      </c>
      <c r="C5" s="5" t="n"/>
      <c r="D5" s="5" t="n"/>
      <c r="E5" s="5" t="n"/>
      <c r="F5" s="5" t="n"/>
      <c r="G5" s="5" t="n"/>
      <c r="H5" s="5" t="n"/>
      <c r="I5" s="5" t="n"/>
      <c r="J5" s="5" t="n"/>
      <c r="K5" s="5" t="n"/>
      <c r="L5" s="5" t="n"/>
      <c r="M5" s="5" t="n"/>
      <c r="N5" s="5" t="n"/>
      <c r="O5" s="5" t="n"/>
    </row>
    <row r="6">
      <c r="A6" s="3" t="inlineStr">
        <is>
          <t>Document Date</t>
        </is>
      </c>
      <c r="B6" s="20" t="inlineStr">
        <is>
          <t>2026-04-11</t>
        </is>
      </c>
      <c r="C6" s="5" t="n"/>
      <c r="D6" s="5" t="n"/>
      <c r="E6" s="5" t="n"/>
      <c r="F6" s="5" t="n"/>
      <c r="G6" s="5" t="n"/>
      <c r="H6" s="5" t="n"/>
      <c r="I6" s="5" t="n"/>
      <c r="J6" s="5" t="n"/>
      <c r="K6" s="5" t="n"/>
      <c r="L6" s="5" t="n"/>
      <c r="M6" s="5" t="n"/>
      <c r="N6" s="5" t="n"/>
      <c r="O6" s="5" t="n"/>
    </row>
    <row r="7"/>
    <row r="8">
      <c r="A8" s="6" t="inlineStr">
        <is>
          <t>Test Case ID</t>
        </is>
      </c>
      <c r="B8" s="6" t="inlineStr">
        <is>
          <t>Suite</t>
        </is>
      </c>
      <c r="C8" s="6" t="inlineStr">
        <is>
          <t>Scenario / Title</t>
        </is>
      </c>
      <c r="D8" s="6" t="inlineStr">
        <is>
          <t>Priority</t>
        </is>
      </c>
      <c r="E8" s="6" t="inlineStr">
        <is>
          <t>Test Type</t>
        </is>
      </c>
      <c r="F8" s="6" t="inlineStr">
        <is>
          <t>Objective</t>
        </is>
      </c>
      <c r="G8" s="6" t="inlineStr">
        <is>
          <t>Preconditions</t>
        </is>
      </c>
      <c r="H8" s="6" t="inlineStr">
        <is>
          <t>Test Data</t>
        </is>
      </c>
      <c r="I8" s="6" t="inlineStr">
        <is>
          <t>Steps</t>
        </is>
      </c>
      <c r="J8" s="6" t="inlineStr">
        <is>
          <t>Expected Result</t>
        </is>
      </c>
      <c r="K8" s="6" t="inlineStr">
        <is>
          <t>Automation Candidate</t>
        </is>
      </c>
      <c r="L8" s="6" t="inlineStr">
        <is>
          <t>Future Pytest File</t>
        </is>
      </c>
      <c r="M8" s="6" t="inlineStr">
        <is>
          <t>Likely Page Object(s)</t>
        </is>
      </c>
      <c r="N8" s="6" t="inlineStr">
        <is>
          <t>Execution Status</t>
        </is>
      </c>
      <c r="O8" s="6" t="inlineStr">
        <is>
          <t>Execution Notes</t>
        </is>
      </c>
    </row>
    <row r="9">
      <c r="A9" s="7" t="inlineStr">
        <is>
          <t>TC_API_001</t>
        </is>
      </c>
      <c r="B9" s="8" t="inlineStr">
        <is>
          <t>API - Auth</t>
        </is>
      </c>
      <c r="C9" s="8" t="inlineStr">
        <is>
          <t>Successful login returns expected auth response</t>
        </is>
      </c>
      <c r="D9" s="7" t="inlineStr">
        <is>
          <t>High</t>
        </is>
      </c>
      <c r="E9" s="8" t="inlineStr">
        <is>
          <t>Positive / Functional</t>
        </is>
      </c>
      <c r="F9" s="8" t="inlineStr">
        <is>
          <t>Verify valid credentials are accepted and the auth response includes expected fields (e.g., token/session).</t>
        </is>
      </c>
      <c r="G9" s="8" t="inlineStr">
        <is>
          <t>• API base URL is reachable.
• Valid credentials are available.</t>
        </is>
      </c>
      <c r="H9" s="8" t="inlineStr">
        <is>
          <t>Username: standard_user
Password: secret_sauce</t>
        </is>
      </c>
      <c r="I9" s="8" t="inlineStr">
        <is>
          <t>1. Send POST /login (or equivalent) with valid credentials.
2. Assert HTTP status indicates success (e.g., 200).
3. Validate response schema/fields.
4. (If token issued) store token for subsequent calls.</t>
        </is>
      </c>
      <c r="J9" s="8" t="inlineStr">
        <is>
          <t>• Auth request succeeds.
• Response contains required auth fields (e.g., token/session id).
• No error fields returned.</t>
        </is>
      </c>
      <c r="K9" s="7" t="inlineStr">
        <is>
          <t>Yes</t>
        </is>
      </c>
      <c r="L9" s="8" t="inlineStr">
        <is>
          <t>tests/api/test_auth_api.py</t>
        </is>
      </c>
      <c r="M9" s="8" t="inlineStr">
        <is>
          <t>api/clients/auth_client.py</t>
        </is>
      </c>
      <c r="N9" s="7" t="inlineStr">
        <is>
          <t>Not Run</t>
        </is>
      </c>
      <c r="O9" s="8" t="inlineStr">
        <is>
          <t>Use schema validation (jsonschema/pydantic) for stability; avoid asserting volatile fields.</t>
        </is>
      </c>
    </row>
    <row r="10">
      <c r="A10" s="7" t="inlineStr">
        <is>
          <t>TC_API_002</t>
        </is>
      </c>
      <c r="B10" s="8" t="inlineStr">
        <is>
          <t>API - Auth</t>
        </is>
      </c>
      <c r="C10" s="8" t="inlineStr">
        <is>
          <t>Invalid credentials are rejected with clear error</t>
        </is>
      </c>
      <c r="D10" s="7" t="inlineStr">
        <is>
          <t>High</t>
        </is>
      </c>
      <c r="E10" s="8" t="inlineStr">
        <is>
          <t>Negative / Security</t>
        </is>
      </c>
      <c r="F10" s="8" t="inlineStr">
        <is>
          <t>Verify invalid credentials are denied and a consistent error response is returned.</t>
        </is>
      </c>
      <c r="G10" s="8" t="inlineStr">
        <is>
          <t>• API base URL is reachable.</t>
        </is>
      </c>
      <c r="H10" s="8" t="inlineStr">
        <is>
          <t>Username: standard_user
Password: wrong_password</t>
        </is>
      </c>
      <c r="I10" s="8" t="inlineStr">
        <is>
          <t>1. Send POST /login with invalid credentials.
2. Assert HTTP status indicates failure (e.g., 401/403).
3. Validate error shape/message fields.
4. Confirm no token/session is returned.</t>
        </is>
      </c>
      <c r="J10" s="8" t="inlineStr">
        <is>
          <t>• Login denied.
• Error response includes actionable message/code.
• No auth token/session is issued.</t>
        </is>
      </c>
      <c r="K10" s="7" t="inlineStr">
        <is>
          <t>Yes</t>
        </is>
      </c>
      <c r="L10" s="8" t="inlineStr">
        <is>
          <t>tests/api/test_auth_api.py</t>
        </is>
      </c>
      <c r="M10" s="8" t="inlineStr">
        <is>
          <t>api/clients/auth_client.py</t>
        </is>
      </c>
      <c r="N10" s="7" t="inlineStr">
        <is>
          <t>Not Run</t>
        </is>
      </c>
      <c r="O10" s="8" t="inlineStr">
        <is>
          <t>Assert status + stable error code/message substring, not full text if it varies.</t>
        </is>
      </c>
    </row>
    <row r="11">
      <c r="A11" s="7" t="inlineStr">
        <is>
          <t>TC_API_003</t>
        </is>
      </c>
      <c r="B11" s="8" t="inlineStr">
        <is>
          <t>API - Inventory</t>
        </is>
      </c>
      <c r="C11" s="8" t="inlineStr">
        <is>
          <t>GET products list returns valid items (schema + non-empty)</t>
        </is>
      </c>
      <c r="D11" s="7" t="inlineStr">
        <is>
          <t>High</t>
        </is>
      </c>
      <c r="E11" s="8" t="inlineStr">
        <is>
          <t>Functional / Contract</t>
        </is>
      </c>
      <c r="F11" s="8" t="inlineStr">
        <is>
          <t>Verify product list endpoint returns non-empty list and each item contains required fields with correct types.</t>
        </is>
      </c>
      <c r="G11" s="8" t="inlineStr">
        <is>
          <t>• API base URL is reachable.</t>
        </is>
      </c>
      <c r="H11" s="8" t="inlineStr">
        <is>
          <t>Endpoint: GET /products (or equivalent)</t>
        </is>
      </c>
      <c r="I11" s="8" t="inlineStr">
        <is>
          <t>1. Send GET /products.
2. Assert 200 OK.
3. Assert response is a list with length &gt; 0.
4. Validate required fields/types for several items (id/name/price/description).
5. Validate price is numeric and non-negative.</t>
        </is>
      </c>
      <c r="J11" s="8" t="inlineStr">
        <is>
          <t>• Product list returned.
• Each product includes required fields.
• Field types are correct and values are sensible.</t>
        </is>
      </c>
      <c r="K11" s="7" t="inlineStr">
        <is>
          <t>Yes</t>
        </is>
      </c>
      <c r="L11" s="8" t="inlineStr">
        <is>
          <t>tests/api/test_products_api.py</t>
        </is>
      </c>
      <c r="M11" s="8" t="inlineStr">
        <is>
          <t>api/clients/products_client.py</t>
        </is>
      </c>
      <c r="N11" s="7" t="inlineStr">
        <is>
          <t>Not Run</t>
        </is>
      </c>
      <c r="O11" s="8" t="inlineStr">
        <is>
          <t>Great place to add contract/schema validation + basic data quality checks.</t>
        </is>
      </c>
    </row>
    <row r="12">
      <c r="A12" s="7" t="inlineStr">
        <is>
          <t>TC_API_004</t>
        </is>
      </c>
      <c r="B12" s="8" t="inlineStr">
        <is>
          <t>API - Inventory</t>
        </is>
      </c>
      <c r="C12" s="8" t="inlineStr">
        <is>
          <t>GET product by id returns matching product data</t>
        </is>
      </c>
      <c r="D12" s="7" t="inlineStr">
        <is>
          <t>Medium</t>
        </is>
      </c>
      <c r="E12" s="8" t="inlineStr">
        <is>
          <t>Functional / Data Validation</t>
        </is>
      </c>
      <c r="F12" s="8" t="inlineStr">
        <is>
          <t>Verify single-product endpoint returns correct item and matches id requested.</t>
        </is>
      </c>
      <c r="G12" s="8" t="inlineStr">
        <is>
          <t>• A valid product id is known from product list response.</t>
        </is>
      </c>
      <c r="H12" s="8" t="inlineStr">
        <is>
          <t>Endpoint: GET /products/{id}</t>
        </is>
      </c>
      <c r="I12" s="8" t="inlineStr">
        <is>
          <t>1. Call GET /products and select a product id.
2. Call GET /products/{id}.
3. Assert 200 OK.
4. Assert returned id matches requested id.
5. Validate required fields/types and price format.</t>
        </is>
      </c>
      <c r="J12" s="8" t="inlineStr">
        <is>
          <t>• Correct product returned.
• Response fields match contract.
• No missing fields.</t>
        </is>
      </c>
      <c r="K12" s="7" t="inlineStr">
        <is>
          <t>Yes</t>
        </is>
      </c>
      <c r="L12" s="8" t="inlineStr">
        <is>
          <t>tests/api/test_products_api.py</t>
        </is>
      </c>
      <c r="M12" s="8" t="inlineStr">
        <is>
          <t>api/clients/products_client.py</t>
        </is>
      </c>
      <c r="N12" s="7" t="inlineStr">
        <is>
          <t>Not Run</t>
        </is>
      </c>
      <c r="O12" s="8" t="inlineStr">
        <is>
          <t>Pairs well with UI details-page test for cross-layer consistency.</t>
        </is>
      </c>
    </row>
    <row r="13">
      <c r="A13" s="7" t="inlineStr">
        <is>
          <t>TC_API_005</t>
        </is>
      </c>
      <c r="B13" s="8" t="inlineStr">
        <is>
          <t>API - Inventory</t>
        </is>
      </c>
      <c r="C13" s="8" t="inlineStr">
        <is>
          <t>Invalid product id returns proper error</t>
        </is>
      </c>
      <c r="D13" s="7" t="inlineStr">
        <is>
          <t>Medium</t>
        </is>
      </c>
      <c r="E13" s="8" t="inlineStr">
        <is>
          <t>Negative / Error Handling</t>
        </is>
      </c>
      <c r="F13" s="8" t="inlineStr">
        <is>
          <t>Verify requesting a nonexistent product id returns correct status and error shape.</t>
        </is>
      </c>
      <c r="G13" s="8" t="inlineStr">
        <is>
          <t>• API base URL is reachable.</t>
        </is>
      </c>
      <c r="H13" s="8" t="inlineStr">
        <is>
          <t>Endpoint: GET /products/999999 (nonexistent)</t>
        </is>
      </c>
      <c r="I13" s="8" t="inlineStr">
        <is>
          <t>1. Send GET /products/{invalid_id}.
2. Assert status indicates not found (e.g., 404).
3. Validate error response fields.
4. Confirm no partial product payload is returned.</t>
        </is>
      </c>
      <c r="J13" s="8" t="inlineStr">
        <is>
          <t>• Not-found response returned.
• Error payload is consistent.
• No product data returned.</t>
        </is>
      </c>
      <c r="K13" s="7" t="inlineStr">
        <is>
          <t>Yes</t>
        </is>
      </c>
      <c r="L13" s="8" t="inlineStr">
        <is>
          <t>tests/api/test_products_api.py</t>
        </is>
      </c>
      <c r="M13" s="8" t="inlineStr">
        <is>
          <t>api/clients/products_client.py</t>
        </is>
      </c>
      <c r="N13" s="7" t="inlineStr">
        <is>
          <t>Not Run</t>
        </is>
      </c>
      <c r="O13" s="8" t="inlineStr">
        <is>
          <t>Use clearly invalid id; assert status + stable error fields.</t>
        </is>
      </c>
    </row>
    <row r="14">
      <c r="A14" s="7" t="inlineStr">
        <is>
          <t>TC_API_006</t>
        </is>
      </c>
      <c r="B14" s="8" t="inlineStr">
        <is>
          <t>API - Cart</t>
        </is>
      </c>
      <c r="C14" s="8" t="inlineStr">
        <is>
          <t>Add item to cart and verify cart state</t>
        </is>
      </c>
      <c r="D14" s="7" t="inlineStr">
        <is>
          <t>High</t>
        </is>
      </c>
      <c r="E14" s="8" t="inlineStr">
        <is>
          <t>Functional / State Validation</t>
        </is>
      </c>
      <c r="F14" s="8" t="inlineStr">
        <is>
          <t>Verify cart state updates when adding one item and retrieving cart contents.</t>
        </is>
      </c>
      <c r="G14" s="8" t="inlineStr">
        <is>
          <t>• User session/auth token available if required.
• A valid product id is available.</t>
        </is>
      </c>
      <c r="H14" s="8" t="inlineStr">
        <is>
          <t>POST /cart/add payload: {product_id: &lt;id&gt;, qty: 1}</t>
        </is>
      </c>
      <c r="I14" s="8" t="inlineStr">
        <is>
          <t>1. Authenticate (if required).
2. Add one item to cart via POST.
3. Assert success status.
4. Retrieve cart via GET.
5. Assert item appears with qty 1 and correct id.</t>
        </is>
      </c>
      <c r="J14" s="8" t="inlineStr">
        <is>
          <t>• Cart add succeeds.
• Cart retrieval shows added item.
• Quantity and ids are correct.</t>
        </is>
      </c>
      <c r="K14" s="7" t="inlineStr">
        <is>
          <t>Yes</t>
        </is>
      </c>
      <c r="L14" s="8" t="inlineStr">
        <is>
          <t>tests/api/test_cart_api.py</t>
        </is>
      </c>
      <c r="M14" s="8" t="inlineStr">
        <is>
          <t>api/clients/cart_client.py</t>
        </is>
      </c>
      <c r="N14" s="7" t="inlineStr">
        <is>
          <t>Not Run</t>
        </is>
      </c>
      <c r="O14" s="8" t="inlineStr">
        <is>
          <t>Keep cart cleanup in teardown to avoid cross-test contamination.</t>
        </is>
      </c>
    </row>
    <row r="15">
      <c r="A15" s="7" t="inlineStr">
        <is>
          <t>TC_API_007</t>
        </is>
      </c>
      <c r="B15" s="8" t="inlineStr">
        <is>
          <t>API - Cart</t>
        </is>
      </c>
      <c r="C15" s="8" t="inlineStr">
        <is>
          <t>Remove item from cart and verify cart is updated</t>
        </is>
      </c>
      <c r="D15" s="7" t="inlineStr">
        <is>
          <t>High</t>
        </is>
      </c>
      <c r="E15" s="8" t="inlineStr">
        <is>
          <t>Functional / State Validation</t>
        </is>
      </c>
      <c r="F15" s="8" t="inlineStr">
        <is>
          <t>Verify removing an item updates cart and removed item no longer appears.</t>
        </is>
      </c>
      <c r="G15" s="8" t="inlineStr">
        <is>
          <t>• Cart contains at least one item (add in setup).
• User session/auth token available if required.</t>
        </is>
      </c>
      <c r="H15" s="8" t="inlineStr">
        <is>
          <t>DELETE /cart/items/{item_id} or POST /cart/remove (per API)</t>
        </is>
      </c>
      <c r="I15" s="8" t="inlineStr">
        <is>
          <t>1. Ensure cart has one item (setup).
2. Call remove endpoint for that item.
3. Assert success status.
4. Retrieve cart.
5. Assert removed item is absent and totals updated.</t>
        </is>
      </c>
      <c r="J15" s="8" t="inlineStr">
        <is>
          <t>• Remove succeeds.
• Cart no longer contains removed item.
• Cart totals/qty reflect removal.</t>
        </is>
      </c>
      <c r="K15" s="7" t="inlineStr">
        <is>
          <t>Yes</t>
        </is>
      </c>
      <c r="L15" s="8" t="inlineStr">
        <is>
          <t>tests/api/test_cart_api.py</t>
        </is>
      </c>
      <c r="M15" s="8" t="inlineStr">
        <is>
          <t>api/clients/cart_client.py</t>
        </is>
      </c>
      <c r="N15" s="7" t="inlineStr">
        <is>
          <t>Not Run</t>
        </is>
      </c>
      <c r="O15" s="8" t="inlineStr">
        <is>
          <t>If API is eventually consistent, poll until cart reflects change (short timeout).</t>
        </is>
      </c>
    </row>
    <row r="16">
      <c r="A16" s="7" t="inlineStr">
        <is>
          <t>TC_API_008</t>
        </is>
      </c>
      <c r="B16" s="8" t="inlineStr">
        <is>
          <t>API - Checkout</t>
        </is>
      </c>
      <c r="C16" s="8" t="inlineStr">
        <is>
          <t>Checkout rejects missing required fields (validation)</t>
        </is>
      </c>
      <c r="D16" s="7" t="inlineStr">
        <is>
          <t>High</t>
        </is>
      </c>
      <c r="E16" s="8" t="inlineStr">
        <is>
          <t>Negative / Validation</t>
        </is>
      </c>
      <c r="F16" s="8" t="inlineStr">
        <is>
          <t>Verify checkout endpoint enforces required fields and returns clear validation errors.</t>
        </is>
      </c>
      <c r="G16" s="8" t="inlineStr">
        <is>
          <t>• Cart contains at least one item.
• User session/auth token available if required.</t>
        </is>
      </c>
      <c r="H16" s="8" t="inlineStr">
        <is>
          <t>POST /checkout payload missing required field (e.g., first_name)</t>
        </is>
      </c>
      <c r="I16" s="8" t="inlineStr">
        <is>
          <t>1. Add item to cart (setup).
2. Send checkout request missing a required field.
3. Assert 400/422 (validation failure).
4. Assert error includes field-level validation details.
5. Verify no order is created.</t>
        </is>
      </c>
      <c r="J16" s="8" t="inlineStr">
        <is>
          <t>• Checkout denied.
• Validation errors returned with field info.
• No order created/committed.</t>
        </is>
      </c>
      <c r="K16" s="7" t="inlineStr">
        <is>
          <t>Yes</t>
        </is>
      </c>
      <c r="L16" s="8" t="inlineStr">
        <is>
          <t>tests/api/test_checkout_api.py</t>
        </is>
      </c>
      <c r="M16" s="8" t="inlineStr">
        <is>
          <t>api/clients/checkout_client.py</t>
        </is>
      </c>
      <c r="N16" s="7" t="inlineStr">
        <is>
          <t>Not Run</t>
        </is>
      </c>
      <c r="O16" s="8" t="inlineStr">
        <is>
          <t>Good demonstration of negative API testing + business rule enforcement.</t>
        </is>
      </c>
    </row>
  </sheetData>
  <autoFilter ref="A8:O16"/>
  <mergeCells count="6">
    <mergeCell ref="B4:O4"/>
    <mergeCell ref="A2:O2"/>
    <mergeCell ref="B6:O6"/>
    <mergeCell ref="A1:O1"/>
    <mergeCell ref="B3:O3"/>
    <mergeCell ref="B5:O5"/>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G17"/>
  <sheetViews>
    <sheetView showGridLines="0" workbookViewId="0">
      <selection activeCell="A1" sqref="A1"/>
    </sheetView>
  </sheetViews>
  <sheetFormatPr baseColWidth="8" defaultRowHeight="15"/>
  <cols>
    <col width="18" customWidth="1" min="1" max="1"/>
    <col width="12" customWidth="1" min="2" max="2"/>
    <col width="14" customWidth="1" min="3" max="3"/>
    <col width="24" customWidth="1" min="4" max="4"/>
    <col width="12" customWidth="1" min="5" max="5"/>
    <col width="20" customWidth="1" min="6" max="6"/>
    <col width="28" customWidth="1" min="7" max="7"/>
  </cols>
  <sheetData>
    <row r="1" ht="24" customHeight="1">
      <c r="A1" s="1" t="inlineStr">
        <is>
          <t>Execution Summary</t>
        </is>
      </c>
    </row>
    <row r="2" ht="30" customHeight="1">
      <c r="A2" s="9" t="inlineStr">
        <is>
          <t>Counts are formula-driven from the Test Cases sheet so the tracker stays usable as you execute the manual suite.</t>
        </is>
      </c>
    </row>
    <row r="4">
      <c r="A4" s="10" t="inlineStr">
        <is>
          <t>Total Test Cases</t>
        </is>
      </c>
      <c r="C4" s="10" t="inlineStr">
        <is>
          <t>High Priority</t>
        </is>
      </c>
      <c r="E4" s="10" t="inlineStr">
        <is>
          <t>Ready for Automation</t>
        </is>
      </c>
      <c r="G4" s="10" t="inlineStr">
        <is>
          <t>Not Run</t>
        </is>
      </c>
    </row>
    <row r="5">
      <c r="A5" s="11">
        <f>COUNTA('Test Cases'!A9:A18)</f>
        <v/>
      </c>
      <c r="C5" s="12">
        <f>COUNTIF('Test Cases'!D9:D18,"High")</f>
        <v/>
      </c>
      <c r="E5" s="13">
        <f>COUNTIF('Test Cases'!K9:K18,"Yes")</f>
        <v/>
      </c>
      <c r="G5" s="14">
        <f>COUNTIF('Test Cases'!N9:N18,"Not Run")</f>
        <v/>
      </c>
    </row>
    <row r="8">
      <c r="A8" s="15" t="inlineStr">
        <is>
          <t>Suite</t>
        </is>
      </c>
      <c r="B8" s="15" t="inlineStr">
        <is>
          <t>Count</t>
        </is>
      </c>
      <c r="C8" s="15" t="inlineStr">
        <is>
          <t>High Priority</t>
        </is>
      </c>
      <c r="D8" s="15" t="inlineStr">
        <is>
          <t>Suggested First Automation</t>
        </is>
      </c>
      <c r="F8" s="16" t="inlineStr">
        <is>
          <t>Recommended Starter Set</t>
        </is>
      </c>
      <c r="G8" s="16" t="inlineStr">
        <is>
          <t>Why these first</t>
        </is>
      </c>
    </row>
    <row r="9">
      <c r="A9" s="17" t="inlineStr">
        <is>
          <t>Authentication</t>
        </is>
      </c>
      <c r="B9" s="17">
        <f>COUNTIF('Test Cases'!B9:B18,"Authentication")</f>
        <v/>
      </c>
      <c r="C9" s="17">
        <f>COUNTIFS('Test Cases'!B9:B18,"Authentication",'Test Cases'!D9:D18,"High")</f>
        <v/>
      </c>
      <c r="D9" s="17" t="inlineStr">
        <is>
          <t>TC_LOGIN_001</t>
        </is>
      </c>
      <c r="F9" s="18" t="inlineStr">
        <is>
          <t>TC_LOGIN_001</t>
        </is>
      </c>
      <c r="G9" s="9" t="inlineStr">
        <is>
          <t>Covers positive auth</t>
        </is>
      </c>
    </row>
    <row r="10">
      <c r="A10" s="19" t="inlineStr">
        <is>
          <t>Inventory</t>
        </is>
      </c>
      <c r="B10" s="19">
        <f>COUNTIF('Test Cases'!B9:B18,"Inventory")</f>
        <v/>
      </c>
      <c r="C10" s="19">
        <f>COUNTIFS('Test Cases'!B9:B18,"Inventory",'Test Cases'!D9:D18,"High")</f>
        <v/>
      </c>
      <c r="D10" s="19" t="inlineStr">
        <is>
          <t>TC_INV_001</t>
        </is>
      </c>
      <c r="F10" s="18" t="inlineStr">
        <is>
          <t>TC_LOGIN_002</t>
        </is>
      </c>
      <c r="G10" s="9" t="inlineStr">
        <is>
          <t>Covers negative auth</t>
        </is>
      </c>
    </row>
    <row r="11">
      <c r="A11" s="17" t="inlineStr">
        <is>
          <t>Cart</t>
        </is>
      </c>
      <c r="B11" s="17">
        <f>COUNTIF('Test Cases'!B9:B18,"Cart")</f>
        <v/>
      </c>
      <c r="C11" s="17">
        <f>COUNTIFS('Test Cases'!B9:B18,"Cart",'Test Cases'!D9:D18,"High")</f>
        <v/>
      </c>
      <c r="D11" s="17" t="inlineStr">
        <is>
          <t>TC_CART_001</t>
        </is>
      </c>
      <c r="F11" s="18" t="inlineStr">
        <is>
          <t>TC_INV_001</t>
        </is>
      </c>
      <c r="G11" s="9" t="inlineStr">
        <is>
          <t>Shows data/order validation</t>
        </is>
      </c>
    </row>
    <row r="12">
      <c r="A12" s="19" t="inlineStr">
        <is>
          <t>Checkout</t>
        </is>
      </c>
      <c r="B12" s="19">
        <f>COUNTIF('Test Cases'!B9:B18,"Checkout")</f>
        <v/>
      </c>
      <c r="C12" s="19">
        <f>COUNTIFS('Test Cases'!B9:B18,"Checkout",'Test Cases'!D9:D18,"High")</f>
        <v/>
      </c>
      <c r="D12" s="19" t="inlineStr">
        <is>
          <t>TC_CHECKOUT_001</t>
        </is>
      </c>
      <c r="F12" s="18" t="inlineStr">
        <is>
          <t>TC_CART_001</t>
        </is>
      </c>
      <c r="G12" s="9" t="inlineStr">
        <is>
          <t>Shows cross-page state validation</t>
        </is>
      </c>
    </row>
    <row r="13">
      <c r="F13" s="18" t="inlineStr">
        <is>
          <t>TC_CHECKOUT_001</t>
        </is>
      </c>
      <c r="G13" s="9" t="inlineStr">
        <is>
          <t>Shows complete happy-path E2E</t>
        </is>
      </c>
    </row>
    <row r="14">
      <c r="F14" s="18" t="inlineStr">
        <is>
          <t>TC_CHECKOUT_002</t>
        </is>
      </c>
      <c r="G14" s="9" t="inlineStr">
        <is>
          <t>Shows required-field validation</t>
        </is>
      </c>
    </row>
    <row r="17">
      <c r="A17" s="9" t="inlineStr">
        <is>
          <t>Document purpose: manual test design now; direct mapping into pytest test modules and page objects later.</t>
        </is>
      </c>
    </row>
  </sheetData>
  <mergeCells count="3">
    <mergeCell ref="A2:G2"/>
    <mergeCell ref="A1:G1"/>
    <mergeCell ref="A17:G1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2026-04-11T17:12:06Z</dcterms:created>
  <dcterms:modified xmlns:dcterms="http://purl.org/dc/terms/" xmlns:xsi="http://www.w3.org/2001/XMLSchema-instance" xsi:type="dcterms:W3CDTF">2026-04-11T17:13:47Z</dcterms:modified>
</cp:coreProperties>
</file>