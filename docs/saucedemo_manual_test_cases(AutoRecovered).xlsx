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nton\Desktop\qa-automation-framework\docs\"/>
    </mc:Choice>
  </mc:AlternateContent>
  <xr:revisionPtr revIDLastSave="0" documentId="8_{6719500A-CE92-4271-84B9-1B3668D52FBF}" xr6:coauthVersionLast="36" xr6:coauthVersionMax="36" xr10:uidLastSave="{00000000-0000-0000-0000-000000000000}"/>
  <bookViews>
    <workbookView xWindow="0" yWindow="0" windowWidth="28780" windowHeight="11590" activeTab="1" xr2:uid="{00000000-000D-0000-FFFF-FFFF00000000}"/>
  </bookViews>
  <sheets>
    <sheet name="Summary" sheetId="2" r:id="rId1"/>
    <sheet name="Test Cases" sheetId="1" r:id="rId2"/>
  </sheets>
  <calcPr calcId="191029"/>
  <fileRecoveryPr repairLoad="1"/>
</workbook>
</file>

<file path=xl/calcChain.xml><?xml version="1.0" encoding="utf-8"?>
<calcChain xmlns="http://schemas.openxmlformats.org/spreadsheetml/2006/main">
  <c r="C12" i="2" l="1"/>
  <c r="B12" i="2"/>
  <c r="C11" i="2"/>
  <c r="B11" i="2"/>
  <c r="C10" i="2"/>
  <c r="B10" i="2"/>
  <c r="C9" i="2"/>
  <c r="B9" i="2"/>
  <c r="G5" i="2"/>
  <c r="E5" i="2"/>
  <c r="C5" i="2"/>
  <c r="A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3" authorId="0" shapeId="0" xr:uid="{00000000-0006-0000-0000-000001000000}">
      <text>
        <r>
          <rPr>
            <sz val="11"/>
            <color theme="1"/>
            <rFont val="Calibri"/>
            <family val="2"/>
            <scheme val="minor"/>
          </rPr>
          <t>Source under test: https://www.saucedemo.com/</t>
        </r>
      </text>
    </comment>
    <comment ref="N8" authorId="0" shapeId="0" xr:uid="{00000000-0006-0000-0000-000002000000}">
      <text>
        <r>
          <rPr>
            <sz val="11"/>
            <color theme="1"/>
            <rFont val="Calibri"/>
            <family val="2"/>
            <scheme val="minor"/>
          </rPr>
          <t>Use the dropdown to track manual execution status.</t>
        </r>
      </text>
    </comment>
    <comment ref="O8" authorId="0" shapeId="0" xr:uid="{00000000-0006-0000-0000-000003000000}">
      <text>
        <r>
          <rPr>
            <sz val="11"/>
            <color theme="1"/>
            <rFont val="Calibri"/>
            <family val="2"/>
            <scheme val="minor"/>
          </rPr>
          <t>Record observed results, defects, or links to evidence/screenshots.</t>
        </r>
      </text>
    </comment>
  </commentList>
</comments>
</file>

<file path=xl/sharedStrings.xml><?xml version="1.0" encoding="utf-8"?>
<sst xmlns="http://schemas.openxmlformats.org/spreadsheetml/2006/main" count="208" uniqueCount="146">
  <si>
    <t>SauceDemo Manual Test Case Matrix</t>
  </si>
  <si>
    <t>Application Under Test</t>
  </si>
  <si>
    <t>https://www.saucedemo.com/</t>
  </si>
  <si>
    <t>Framework Mapping</t>
  </si>
  <si>
    <t>Prepared For</t>
  </si>
  <si>
    <t>Document Date</t>
  </si>
  <si>
    <t>2026-03-23</t>
  </si>
  <si>
    <t>Test Case ID</t>
  </si>
  <si>
    <t>Suite</t>
  </si>
  <si>
    <t>Scenario / Title</t>
  </si>
  <si>
    <t>Priority</t>
  </si>
  <si>
    <t>Test Type</t>
  </si>
  <si>
    <t>Objective</t>
  </si>
  <si>
    <t>Preconditions</t>
  </si>
  <si>
    <t>Test Data</t>
  </si>
  <si>
    <t>Steps</t>
  </si>
  <si>
    <t>Expected Result</t>
  </si>
  <si>
    <t>Automation Candidate</t>
  </si>
  <si>
    <t>Future Pytest File</t>
  </si>
  <si>
    <t>Likely Page Object(s)</t>
  </si>
  <si>
    <t>Execution Status</t>
  </si>
  <si>
    <t>Execution Notes</t>
  </si>
  <si>
    <t>TC_LOGIN_001</t>
  </si>
  <si>
    <t>Authentication</t>
  </si>
  <si>
    <t>Successful login with valid standard user</t>
  </si>
  <si>
    <t>High</t>
  </si>
  <si>
    <t>Positive / Functional</t>
  </si>
  <si>
    <t>Verify that a valid standard user can successfully log in and reach the inventory page.</t>
  </si>
  <si>
    <t>• User is on the SauceDemo login page.
• Valid credentials are available.</t>
  </si>
  <si>
    <t>Username: standard_user
Password: secret_sauce</t>
  </si>
  <si>
    <t>• User is redirected to the inventory page.
• Product list is displayed.
• No error message is shown.</t>
  </si>
  <si>
    <t>Yes</t>
  </si>
  <si>
    <t>tests/test_login.py</t>
  </si>
  <si>
    <t>pages/login_page.py</t>
  </si>
  <si>
    <t>Not Run</t>
  </si>
  <si>
    <t>Great candidate for a reusable login fixture/helper.</t>
  </si>
  <si>
    <t>TC_LOGIN_002</t>
  </si>
  <si>
    <t>Locked-out user is denied access</t>
  </si>
  <si>
    <t>Negative / Security</t>
  </si>
  <si>
    <t>Verify that a locked-out user is prevented from logging in and receives the correct error feedback.</t>
  </si>
  <si>
    <t>• User is on the SauceDemo login page.</t>
  </si>
  <si>
    <t>Username: locked_out_user
Password: secret_sauce</t>
  </si>
  <si>
    <t>1. Open the SauceDemo login page.
2. Enter username locked_out_user.
3. Enter the valid password.
4. Click the Login button.</t>
  </si>
  <si>
    <t>• Login is denied.
• User remains on the login page.
• An appropriate error message is displayed.</t>
  </si>
  <si>
    <t>Strong negative-auth coverage for access control.</t>
  </si>
  <si>
    <t>TC_INV_001</t>
  </si>
  <si>
    <t>Inventory</t>
  </si>
  <si>
    <t>Products can be sorted by price low to high</t>
  </si>
  <si>
    <t>Medium</t>
  </si>
  <si>
    <t>Functional / Data Validation</t>
  </si>
  <si>
    <t>Verify that inventory items are correctly sorted in ascending price order.</t>
  </si>
  <si>
    <t>• User is logged in as standard_user.
• User is on the inventory page.</t>
  </si>
  <si>
    <t>User: standard_user
Sort Option: Price (low to high)</t>
  </si>
  <si>
    <t>1. Log in as standard_user.
2. Locate the product sort dropdown.
3. Select Price (low to high).
4. Observe the order of displayed product prices.</t>
  </si>
  <si>
    <t>• Products are displayed in ascending price order.
• No products are missing after sorting.
• Product cards remain visible and usable.</t>
  </si>
  <si>
    <t>tests/test_inventory.py</t>
  </si>
  <si>
    <t>pages/login_page.py; pages/inventory_page.py</t>
  </si>
  <si>
    <t>Excellent Python assertion case for list extraction and ordering.</t>
  </si>
  <si>
    <t>TC_INV_002</t>
  </si>
  <si>
    <t>Product details page shows matching item information</t>
  </si>
  <si>
    <t>Functional / Navigation</t>
  </si>
  <si>
    <t>Verify that selecting a product opens the correct details page and displays matching product information.</t>
  </si>
  <si>
    <t>Any one inventory item</t>
  </si>
  <si>
    <t>1. Log in as standard_user.
2. Click a product name or image.
3. Observe the product details page.
4. Compare name, description, and price against the inventory card.
5. Click Back to products.</t>
  </si>
  <si>
    <t>• Product details page opens successfully.
• Name, description, and price match the selected item.
• User can navigate back to the inventory page.</t>
  </si>
  <si>
    <t>pages/inventory_page.py</t>
  </si>
  <si>
    <t>Good page-transition and data-consistency test.</t>
  </si>
  <si>
    <t>TC_CART_001</t>
  </si>
  <si>
    <t>Cart</t>
  </si>
  <si>
    <t>Add one item to cart and verify badge + cart contents</t>
  </si>
  <si>
    <t>Positive / State Validation</t>
  </si>
  <si>
    <t>Verify that a user can add a single item to the cart and that cart indicators update correctly.</t>
  </si>
  <si>
    <t>1. Log in as standard_user.
2. Select one inventory item.
3. Click Add to cart.
4. Observe the cart badge.
5. Open the cart page.</t>
  </si>
  <si>
    <t>• Cart badge updates to reflect 1 item.
• The selected product appears in the cart.
• Product information matches the selected inventory item.</t>
  </si>
  <si>
    <t>tests/test_cart.py</t>
  </si>
  <si>
    <t>pages/inventory_page.py; pages/cart_page.py</t>
  </si>
  <si>
    <t>Core E2E building block; validates cross-page state.</t>
  </si>
  <si>
    <t>TC_CART_002</t>
  </si>
  <si>
    <t>Remove item from cart and verify state is synchronized</t>
  </si>
  <si>
    <t>Functional / State Validation</t>
  </si>
  <si>
    <t>Verify that an item can be removed from the cart and that the UI state is updated correctly.</t>
  </si>
  <si>
    <t>• User is logged in as standard_user.
• At least one item has already been added to the cart.</t>
  </si>
  <si>
    <t>One item already present in cart</t>
  </si>
  <si>
    <t>1. Log in as standard_user.
2. Add one item to the cart.
3. Open the cart page.
4. Click Remove for the item.</t>
  </si>
  <si>
    <t>• Item is removed from the cart.
• Cart badge updates or disappears appropriately.
• Removed item no longer appears in the cart.</t>
  </si>
  <si>
    <t>Validates reverse action and clean state handling.</t>
  </si>
  <si>
    <t>TC_CART_003</t>
  </si>
  <si>
    <t>Reset App State clears cart-related state</t>
  </si>
  <si>
    <t>Functional / State Management</t>
  </si>
  <si>
    <t>Verify that the Reset App State option clears cart-related UI state.</t>
  </si>
  <si>
    <t>• User is logged in as standard_user.
• At least one item has been added to the cart.</t>
  </si>
  <si>
    <t>One or more cart items</t>
  </si>
  <si>
    <t>1. Log in as standard_user.
2. Add one or more items to the cart.
3. Open the side menu.
4. Click Reset App State.
5. Return to inventory and cart views.</t>
  </si>
  <si>
    <t>• Cart badge is cleared.
• Previously selected items are no longer active in cart state.
• App returns to a default browsing state.</t>
  </si>
  <si>
    <t>Useful for state cleanup and test-isolation strategy.</t>
  </si>
  <si>
    <t>TC_CHECKOUT_001</t>
  </si>
  <si>
    <t>Checkout</t>
  </si>
  <si>
    <t>Successful checkout with valid customer information</t>
  </si>
  <si>
    <t>End-to-End Positive</t>
  </si>
  <si>
    <t>Verify that a user can complete the checkout process successfully with valid data.</t>
  </si>
  <si>
    <t>• User is logged in as standard_user.
• At least one item is in the cart.</t>
  </si>
  <si>
    <t>First Name: valid
Last Name: valid
Zip Code: valid
Cart: one item</t>
  </si>
  <si>
    <t>1. Log in as standard_user.
2. Add one item to the cart.
3. Open the cart.
4. Click Checkout.
5. Enter valid first name, last name, and zip code.
6. Click Continue.
7. Review checkout overview.
8. Click Finish.</t>
  </si>
  <si>
    <t>• Checkout completes successfully.
• Confirmation page is displayed.
• User sees a success / thank-you message.</t>
  </si>
  <si>
    <t>tests/test_checkout.py</t>
  </si>
  <si>
    <t>pages/inventory_page.py; pages/cart_page.py; pages/checkout_page.py</t>
  </si>
  <si>
    <t>Best single end-to-end showcase case for the portfolio.</t>
  </si>
  <si>
    <t>TC_CHECKOUT_002</t>
  </si>
  <si>
    <t>Checkout blocks progress when first name is blank</t>
  </si>
  <si>
    <t>Negative / Validation</t>
  </si>
  <si>
    <t>Verify that checkout cannot proceed when the first name field is left blank.</t>
  </si>
  <si>
    <t>• User is logged in as standard_user.
• At least one item is in the cart.
• User is on checkout step one.</t>
  </si>
  <si>
    <t>First Name: blank
Last Name: valid
Zip Code: valid</t>
  </si>
  <si>
    <t>1. Log in as standard_user.
2. Add one item to the cart.
3. Open the cart.
4. Click Checkout.
5. Leave First Name blank.
6. Enter valid values for last name and zip code.
7. Click Continue.</t>
  </si>
  <si>
    <t>• User cannot proceed to the next checkout step.
• A validation error message is displayed.
• User remains on checkout information page.</t>
  </si>
  <si>
    <t>Good candidate for future pytest parameterization.</t>
  </si>
  <si>
    <t>TC_CHECKOUT_003</t>
  </si>
  <si>
    <t>error_user fails or behaves unexpectedly during checkout completion</t>
  </si>
  <si>
    <t>Defect-Oriented / Investigative</t>
  </si>
  <si>
    <t>Verify and document checkout behavior for error_user, especially at final checkout completion.</t>
  </si>
  <si>
    <t>• User is on the login page.</t>
  </si>
  <si>
    <t>Username: error_user
Password: secret_sauce</t>
  </si>
  <si>
    <t>1. Log in as error_user.
2. Add one item to the cart.
3. Proceed to checkout.
4. Enter valid checkout information.
5. Continue to overview.
6. Click Finish.
7. Observe page behavior carefully.</t>
  </si>
  <si>
    <t>• System behavior is documented precisely.
• If checkout fails, the failure point and message are recorded.
• If checkout succeeds, that outcome is confirmed and noted.</t>
  </si>
  <si>
    <t>pages/login_page.py; pages/inventory_page.py; pages/cart_page.py; pages/checkout_page.py</t>
  </si>
  <si>
    <t>Strong QA Analyst case for defect reproduction and investigation.</t>
  </si>
  <si>
    <t>Execution Summary</t>
  </si>
  <si>
    <t>Counts are formula-driven from the Test Cases sheet so the tracker stays usable as you execute the manual suite.</t>
  </si>
  <si>
    <t>Total Test Cases</t>
  </si>
  <si>
    <t>High Priority</t>
  </si>
  <si>
    <t>Ready for Automation</t>
  </si>
  <si>
    <t>Count</t>
  </si>
  <si>
    <t>Suggested First Automation</t>
  </si>
  <si>
    <t>Recommended Starter Set</t>
  </si>
  <si>
    <t>Why these first</t>
  </si>
  <si>
    <t>Covers positive auth</t>
  </si>
  <si>
    <t>Covers negative auth</t>
  </si>
  <si>
    <t>Shows data/order validation</t>
  </si>
  <si>
    <t>Shows cross-page state validation</t>
  </si>
  <si>
    <t>Shows complete happy-path E2E</t>
  </si>
  <si>
    <t>Shows required-field validation</t>
  </si>
  <si>
    <t>Document purpose: manual test design now; direct mapping into pytest test modules and page objects later.</t>
  </si>
  <si>
    <t>Anton Buyanovski</t>
  </si>
  <si>
    <t xml:space="preserve">tests/ + pages/ + conftest.py </t>
  </si>
  <si>
    <t>Manual test cases organized for later Selenium WebDriver + Python automation (pytest + Page Object Model)</t>
  </si>
  <si>
    <r>
      <t xml:space="preserve">1. Open the SauceDemo login page.
2. Enter username </t>
    </r>
    <r>
      <rPr>
        <i/>
        <sz val="11"/>
        <color theme="1"/>
        <rFont val="Calibri"/>
        <family val="2"/>
        <scheme val="minor"/>
      </rPr>
      <t>standard_user</t>
    </r>
    <r>
      <rPr>
        <sz val="11"/>
        <color theme="1"/>
        <rFont val="Calibri"/>
        <family val="2"/>
        <scheme val="minor"/>
      </rPr>
      <t>.
3. Enter the valid password.
4. Click the Login button.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</si>
</sst>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Calibri"/>
    </font>
    <font>
      <b/>
      <sz val="11"/>
      <color rgb="FF1F4E78"/>
      <name val="Calibri"/>
    </font>
    <font>
      <b/>
      <sz val="11"/>
      <color rgb="FFFFFFFF"/>
      <name val="Calibri"/>
    </font>
    <font>
      <b/>
      <sz val="18"/>
      <color rgb="FF1F1F1F"/>
      <name val="Calibri"/>
    </font>
    <font>
      <sz val="11"/>
      <color rgb="FF9C5700"/>
      <name val="Calibri"/>
      <family val="2"/>
      <scheme val="minor"/>
    </font>
    <font>
      <u/>
      <sz val="11"/>
      <color theme="10"/>
      <name val="Calibri"/>
      <family val="2"/>
      <scheme val="minor"/>
    </font>
    <font>
      <i/>
      <sz val="11"/>
      <color rgb="FF1F1F1F"/>
      <name val="Calibri"/>
      <family val="2"/>
    </font>
    <font>
      <i/>
      <sz val="11"/>
      <color theme="1"/>
      <name val="Calibri"/>
      <family val="2"/>
      <scheme val="minor"/>
    </font>
  </fonts>
  <fills count="10">
    <fill>
      <patternFill patternType="none"/>
    </fill>
    <fill>
      <patternFill patternType="gray125"/>
    </fill>
    <fill>
      <patternFill patternType="solid">
        <fgColor rgb="FF1F4E78"/>
      </patternFill>
    </fill>
    <fill>
      <patternFill patternType="solid">
        <fgColor rgb="FFF3F5F7"/>
      </patternFill>
    </fill>
    <fill>
      <patternFill patternType="solid">
        <fgColor rgb="FFEAF3FA"/>
      </patternFill>
    </fill>
    <fill>
      <patternFill patternType="solid">
        <fgColor rgb="FFDFF2F1"/>
      </patternFill>
    </fill>
    <fill>
      <patternFill patternType="solid">
        <fgColor rgb="FFFCE4D6"/>
      </patternFill>
    </fill>
    <fill>
      <patternFill patternType="solid">
        <fgColor rgb="FFE2F0D9"/>
      </patternFill>
    </fill>
    <fill>
      <patternFill patternType="solid">
        <fgColor rgb="FFFFEB9C"/>
      </patternFill>
    </fill>
    <fill>
      <patternFill patternType="solid">
        <fgColor rgb="FFFFFFCC"/>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s>
  <cellStyleXfs count="3">
    <xf numFmtId="0" fontId="0" fillId="0" borderId="0"/>
    <xf numFmtId="0" fontId="5" fillId="8" borderId="0" applyNumberFormat="0" applyBorder="0" applyAlignment="0" applyProtection="0"/>
    <xf numFmtId="0" fontId="6" fillId="0" borderId="0" applyNumberFormat="0" applyFill="0" applyBorder="0" applyAlignment="0" applyProtection="0"/>
  </cellStyleXfs>
  <cellXfs count="46">
    <xf numFmtId="0" fontId="0" fillId="0" borderId="0" xfId="0"/>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5" xfId="0"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6" xfId="0" applyBorder="1" applyAlignment="1">
      <alignment vertical="top" wrapText="1"/>
    </xf>
    <xf numFmtId="0" fontId="0" fillId="0" borderId="7" xfId="0" applyBorder="1" applyAlignment="1">
      <alignment horizontal="center" vertical="top" wrapText="1"/>
    </xf>
    <xf numFmtId="0" fontId="0" fillId="0" borderId="8" xfId="0" applyBorder="1" applyAlignment="1">
      <alignment vertical="top" wrapText="1"/>
    </xf>
    <xf numFmtId="0" fontId="0" fillId="0" borderId="8" xfId="0" applyBorder="1" applyAlignment="1">
      <alignment horizontal="center" vertical="top" wrapText="1"/>
    </xf>
    <xf numFmtId="0" fontId="0" fillId="0" borderId="9" xfId="0" applyBorder="1" applyAlignment="1">
      <alignment vertical="top" wrapText="1"/>
    </xf>
    <xf numFmtId="0" fontId="0" fillId="0" borderId="1" xfId="0" applyBorder="1"/>
    <xf numFmtId="0" fontId="2" fillId="4" borderId="10" xfId="0" applyFont="1" applyFill="1" applyBorder="1"/>
    <xf numFmtId="0" fontId="2" fillId="4" borderId="13" xfId="0" applyFont="1" applyFill="1" applyBorder="1"/>
    <xf numFmtId="0" fontId="2" fillId="4" borderId="15" xfId="0" applyFont="1" applyFill="1" applyBorder="1"/>
    <xf numFmtId="0" fontId="2" fillId="3" borderId="1" xfId="0" applyFont="1" applyFill="1" applyBorder="1"/>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7" borderId="1" xfId="0" applyFont="1" applyFill="1" applyBorder="1" applyAlignment="1">
      <alignment horizontal="center"/>
    </xf>
    <xf numFmtId="0" fontId="4" fillId="4" borderId="1" xfId="0" applyFont="1" applyFill="1" applyBorder="1" applyAlignment="1">
      <alignment horizontal="center"/>
    </xf>
    <xf numFmtId="0" fontId="3" fillId="2" borderId="1" xfId="0" applyFont="1" applyFill="1" applyBorder="1" applyAlignment="1">
      <alignment horizontal="center"/>
    </xf>
    <xf numFmtId="0" fontId="3" fillId="2" borderId="1" xfId="0" applyFont="1" applyFill="1" applyBorder="1"/>
    <xf numFmtId="0" fontId="0" fillId="4" borderId="1" xfId="0" applyFill="1" applyBorder="1" applyAlignment="1">
      <alignment vertical="center" wrapText="1"/>
    </xf>
    <xf numFmtId="0" fontId="0" fillId="5" borderId="1" xfId="0" applyFill="1" applyBorder="1"/>
    <xf numFmtId="0" fontId="0" fillId="3" borderId="1" xfId="0" applyFill="1" applyBorder="1" applyAlignment="1">
      <alignment wrapText="1"/>
    </xf>
    <xf numFmtId="0" fontId="0" fillId="0" borderId="1" xfId="0" applyBorder="1" applyAlignment="1">
      <alignment vertical="center" wrapText="1"/>
    </xf>
    <xf numFmtId="0" fontId="0" fillId="0" borderId="18" xfId="0" applyBorder="1"/>
    <xf numFmtId="0" fontId="0" fillId="0" borderId="3" xfId="0" applyBorder="1"/>
    <xf numFmtId="0" fontId="0" fillId="3" borderId="18" xfId="0" applyFill="1" applyBorder="1" applyAlignment="1">
      <alignment wrapText="1"/>
    </xf>
    <xf numFmtId="0" fontId="0" fillId="0" borderId="18" xfId="0" applyBorder="1"/>
    <xf numFmtId="0" fontId="1" fillId="2" borderId="1" xfId="0" applyFont="1" applyFill="1" applyBorder="1" applyAlignment="1">
      <alignment horizontal="left" vertical="center"/>
    </xf>
    <xf numFmtId="0" fontId="0" fillId="0" borderId="1" xfId="0" applyBorder="1"/>
    <xf numFmtId="0" fontId="0" fillId="3" borderId="0" xfId="0" applyFill="1" applyAlignment="1">
      <alignment wrapText="1"/>
    </xf>
    <xf numFmtId="0" fontId="0" fillId="0" borderId="0" xfId="0"/>
    <xf numFmtId="0" fontId="5" fillId="9" borderId="1" xfId="1" applyFill="1" applyBorder="1" applyAlignment="1">
      <alignment wrapText="1"/>
    </xf>
    <xf numFmtId="0" fontId="5" fillId="9" borderId="1" xfId="1" applyFill="1" applyBorder="1"/>
    <xf numFmtId="0" fontId="5" fillId="9" borderId="14" xfId="1" applyFill="1" applyBorder="1"/>
    <xf numFmtId="0" fontId="7" fillId="3" borderId="0" xfId="0" applyFont="1" applyFill="1" applyAlignment="1">
      <alignment horizontal="left" vertical="center" wrapText="1"/>
    </xf>
    <xf numFmtId="0" fontId="5" fillId="9" borderId="16" xfId="1" applyFill="1" applyBorder="1" applyAlignment="1">
      <alignment wrapText="1"/>
    </xf>
    <xf numFmtId="0" fontId="5" fillId="9" borderId="16" xfId="1" applyFill="1" applyBorder="1"/>
    <xf numFmtId="0" fontId="5" fillId="9" borderId="17" xfId="1" applyFill="1" applyBorder="1"/>
    <xf numFmtId="0" fontId="1" fillId="2" borderId="0" xfId="0" applyFont="1" applyFill="1" applyAlignment="1">
      <alignment horizontal="left" vertical="center"/>
    </xf>
    <xf numFmtId="0" fontId="6" fillId="9" borderId="11" xfId="2" applyFill="1" applyBorder="1" applyAlignment="1">
      <alignment wrapText="1"/>
    </xf>
    <xf numFmtId="0" fontId="5" fillId="9" borderId="11" xfId="1" applyFill="1" applyBorder="1"/>
    <xf numFmtId="0" fontId="5" fillId="9" borderId="12" xfId="1" applyFill="1" applyBorder="1"/>
  </cellXfs>
  <cellStyles count="3">
    <cellStyle name="Hyperlink" xfId="2" builtinId="8"/>
    <cellStyle name="Neutral" xfId="1" builtinId="28"/>
    <cellStyle name="Normal" xfId="0" builtinId="0"/>
  </cellStyles>
  <dxfs count="79">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
      <fill>
        <patternFill>
          <bgColor rgb="FFEAF3FA"/>
        </patternFill>
      </fill>
    </dxf>
    <dxf>
      <fill>
        <patternFill>
          <bgColor rgb="FFFCE4D6"/>
        </patternFill>
      </fill>
    </dxf>
    <dxf>
      <fill>
        <patternFill>
          <bgColor rgb="FFF3F5F7"/>
        </patternFill>
      </fill>
    </dxf>
    <dxf>
      <fill>
        <patternFill>
          <bgColor rgb="FFFCE4D6"/>
        </patternFill>
      </fill>
    </dxf>
    <dxf>
      <fill>
        <patternFill>
          <bgColor rgb="FFFDE9E7"/>
        </patternFill>
      </fill>
    </dxf>
    <dxf>
      <fill>
        <patternFill>
          <bgColor rgb="FFE2F0D9"/>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83f66c4f83724813"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831850</xdr:colOff>
      <xdr:row>12</xdr:row>
      <xdr:rowOff>82550</xdr:rowOff>
    </xdr:to>
    <xdr:sp macro="" textlink="">
      <xdr:nvSpPr>
        <xdr:cNvPr id="1028" name="Text Box 4" hidden="1">
          <a:extLst>
            <a:ext uri="{FF2B5EF4-FFF2-40B4-BE49-F238E27FC236}">
              <a16:creationId xmlns:a16="http://schemas.microsoft.com/office/drawing/2014/main" id="{ADF8DF09-FBB3-485C-8094-4536A4BC4126}"/>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OpenAI" id="{6BE33EE5-0BDB-5034-A2B0-88EAA1A75ACA}"/>
</xl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uceDemoCases" displayName="SauceDemoCases" ref="A8:O18" headerRowDxfId="18" totalsRowDxfId="15" headerRowBorderDxfId="17" tableBorderDxfId="16">
  <autoFilter ref="A8:O18" xr:uid="{00000000-0009-0000-0100-000001000000}"/>
  <tableColumns count="15">
    <tableColumn id="1" xr3:uid="{00000000-0010-0000-0000-000001000000}" name="Test Case ID" dataDxfId="14"/>
    <tableColumn id="2" xr3:uid="{00000000-0010-0000-0000-000002000000}" name="Suite" dataDxfId="13"/>
    <tableColumn id="3" xr3:uid="{00000000-0010-0000-0000-000003000000}" name="Scenario / Title" dataDxfId="12"/>
    <tableColumn id="4" xr3:uid="{00000000-0010-0000-0000-000004000000}" name="Priority" dataDxfId="11"/>
    <tableColumn id="5" xr3:uid="{00000000-0010-0000-0000-000005000000}" name="Test Type" dataDxfId="10"/>
    <tableColumn id="6" xr3:uid="{00000000-0010-0000-0000-000006000000}" name="Objective" dataDxfId="9"/>
    <tableColumn id="7" xr3:uid="{00000000-0010-0000-0000-000007000000}" name="Preconditions" dataDxfId="8"/>
    <tableColumn id="8" xr3:uid="{00000000-0010-0000-0000-000008000000}" name="Test Data" dataDxfId="7"/>
    <tableColumn id="9" xr3:uid="{00000000-0010-0000-0000-000009000000}" name="Steps" dataDxfId="6"/>
    <tableColumn id="10" xr3:uid="{00000000-0010-0000-0000-00000A000000}" name="Expected Result" dataDxfId="5"/>
    <tableColumn id="11" xr3:uid="{00000000-0010-0000-0000-00000B000000}" name="Automation Candidate" dataDxfId="4"/>
    <tableColumn id="12" xr3:uid="{00000000-0010-0000-0000-00000C000000}" name="Future Pytest File" dataDxfId="3"/>
    <tableColumn id="13" xr3:uid="{00000000-0010-0000-0000-00000D000000}" name="Likely Page Object(s)" dataDxfId="2"/>
    <tableColumn id="14" xr3:uid="{00000000-0010-0000-0000-00000E000000}" name="Execution Status" dataDxfId="1"/>
    <tableColumn id="15" xr3:uid="{00000000-0010-0000-0000-00000F000000}" name="Execution Notes"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aucedemo.com/"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G17"/>
  <sheetViews>
    <sheetView showGridLines="0" workbookViewId="0">
      <selection activeCell="K8" sqref="K8"/>
    </sheetView>
  </sheetViews>
  <sheetFormatPr defaultRowHeight="14.5" x14ac:dyDescent="0.35"/>
  <cols>
    <col min="1" max="1" width="18" customWidth="1"/>
    <col min="2" max="2" width="12" customWidth="1"/>
    <col min="3" max="3" width="14" customWidth="1"/>
    <col min="4" max="4" width="24" customWidth="1"/>
    <col min="5" max="5" width="12" customWidth="1"/>
    <col min="6" max="6" width="20" customWidth="1"/>
    <col min="7" max="7" width="28" customWidth="1"/>
  </cols>
  <sheetData>
    <row r="1" spans="1:7" ht="24" customHeight="1" x14ac:dyDescent="0.35">
      <c r="A1" s="31" t="s">
        <v>126</v>
      </c>
      <c r="B1" s="32"/>
      <c r="C1" s="32"/>
      <c r="D1" s="32"/>
      <c r="E1" s="32"/>
      <c r="F1" s="32"/>
      <c r="G1" s="32"/>
    </row>
    <row r="2" spans="1:7" ht="30" customHeight="1" thickBot="1" x14ac:dyDescent="0.4">
      <c r="A2" s="29" t="s">
        <v>127</v>
      </c>
      <c r="B2" s="30"/>
      <c r="C2" s="30"/>
      <c r="D2" s="30"/>
      <c r="E2" s="30"/>
      <c r="F2" s="30"/>
      <c r="G2" s="30"/>
    </row>
    <row r="3" spans="1:7" ht="15" thickTop="1" x14ac:dyDescent="0.35">
      <c r="A3" s="28"/>
      <c r="B3" s="28"/>
      <c r="C3" s="28"/>
      <c r="D3" s="28"/>
      <c r="E3" s="28"/>
      <c r="F3" s="28"/>
      <c r="G3" s="28"/>
    </row>
    <row r="4" spans="1:7" x14ac:dyDescent="0.35">
      <c r="A4" s="16" t="s">
        <v>128</v>
      </c>
      <c r="B4" s="12"/>
      <c r="C4" s="16" t="s">
        <v>129</v>
      </c>
      <c r="D4" s="12"/>
      <c r="E4" s="16" t="s">
        <v>130</v>
      </c>
      <c r="F4" s="12"/>
      <c r="G4" s="16" t="s">
        <v>34</v>
      </c>
    </row>
    <row r="5" spans="1:7" ht="23.5" x14ac:dyDescent="0.55000000000000004">
      <c r="A5" s="17">
        <f>COUNTA('Test Cases'!A9:A18)</f>
        <v>10</v>
      </c>
      <c r="B5" s="12"/>
      <c r="C5" s="18">
        <f>COUNTIF('Test Cases'!D9:D18,"High")</f>
        <v>6</v>
      </c>
      <c r="D5" s="12"/>
      <c r="E5" s="19">
        <f>COUNTIF('Test Cases'!K9:K18,"Yes")</f>
        <v>10</v>
      </c>
      <c r="F5" s="12"/>
      <c r="G5" s="20">
        <f>COUNTIF('Test Cases'!N9:N18,"Not Run")</f>
        <v>10</v>
      </c>
    </row>
    <row r="6" spans="1:7" x14ac:dyDescent="0.35">
      <c r="A6" s="12"/>
      <c r="B6" s="12"/>
      <c r="C6" s="12"/>
      <c r="D6" s="12"/>
      <c r="E6" s="12"/>
      <c r="F6" s="12"/>
      <c r="G6" s="12"/>
    </row>
    <row r="7" spans="1:7" x14ac:dyDescent="0.35">
      <c r="A7" s="12"/>
      <c r="B7" s="12"/>
      <c r="C7" s="12"/>
      <c r="D7" s="12"/>
      <c r="E7" s="12"/>
      <c r="F7" s="12"/>
      <c r="G7" s="12"/>
    </row>
    <row r="8" spans="1:7" x14ac:dyDescent="0.35">
      <c r="A8" s="21" t="s">
        <v>8</v>
      </c>
      <c r="B8" s="21" t="s">
        <v>131</v>
      </c>
      <c r="C8" s="21" t="s">
        <v>129</v>
      </c>
      <c r="D8" s="21" t="s">
        <v>132</v>
      </c>
      <c r="E8" s="12"/>
      <c r="F8" s="22" t="s">
        <v>133</v>
      </c>
      <c r="G8" s="22" t="s">
        <v>134</v>
      </c>
    </row>
    <row r="9" spans="1:7" x14ac:dyDescent="0.35">
      <c r="A9" s="23" t="s">
        <v>23</v>
      </c>
      <c r="B9" s="23">
        <f>COUNTIF('Test Cases'!B9:B18,"Authentication")</f>
        <v>2</v>
      </c>
      <c r="C9" s="23">
        <f>COUNTIFS('Test Cases'!B9:B18,"Authentication",'Test Cases'!D9:D18,"High")</f>
        <v>2</v>
      </c>
      <c r="D9" s="23" t="s">
        <v>22</v>
      </c>
      <c r="E9" s="12"/>
      <c r="F9" s="24" t="s">
        <v>22</v>
      </c>
      <c r="G9" s="25" t="s">
        <v>135</v>
      </c>
    </row>
    <row r="10" spans="1:7" x14ac:dyDescent="0.35">
      <c r="A10" s="26" t="s">
        <v>46</v>
      </c>
      <c r="B10" s="26">
        <f>COUNTIF('Test Cases'!B9:B18,"Inventory")</f>
        <v>2</v>
      </c>
      <c r="C10" s="26">
        <f>COUNTIFS('Test Cases'!B9:B18,"Inventory",'Test Cases'!D9:D18,"High")</f>
        <v>0</v>
      </c>
      <c r="D10" s="26" t="s">
        <v>45</v>
      </c>
      <c r="E10" s="12"/>
      <c r="F10" s="24" t="s">
        <v>36</v>
      </c>
      <c r="G10" s="25" t="s">
        <v>136</v>
      </c>
    </row>
    <row r="11" spans="1:7" x14ac:dyDescent="0.35">
      <c r="A11" s="23" t="s">
        <v>68</v>
      </c>
      <c r="B11" s="23">
        <f>COUNTIF('Test Cases'!B9:B18,"Cart")</f>
        <v>3</v>
      </c>
      <c r="C11" s="23">
        <f>COUNTIFS('Test Cases'!B9:B18,"Cart",'Test Cases'!D9:D18,"High")</f>
        <v>2</v>
      </c>
      <c r="D11" s="23" t="s">
        <v>67</v>
      </c>
      <c r="E11" s="12"/>
      <c r="F11" s="24" t="s">
        <v>45</v>
      </c>
      <c r="G11" s="25" t="s">
        <v>137</v>
      </c>
    </row>
    <row r="12" spans="1:7" ht="29" x14ac:dyDescent="0.35">
      <c r="A12" s="26" t="s">
        <v>96</v>
      </c>
      <c r="B12" s="26">
        <f>COUNTIF('Test Cases'!B9:B18,"Checkout")</f>
        <v>3</v>
      </c>
      <c r="C12" s="26">
        <f>COUNTIFS('Test Cases'!B9:B18,"Checkout",'Test Cases'!D9:D18,"High")</f>
        <v>2</v>
      </c>
      <c r="D12" s="26" t="s">
        <v>95</v>
      </c>
      <c r="E12" s="12"/>
      <c r="F12" s="24" t="s">
        <v>67</v>
      </c>
      <c r="G12" s="25" t="s">
        <v>138</v>
      </c>
    </row>
    <row r="13" spans="1:7" ht="29" x14ac:dyDescent="0.35">
      <c r="A13" s="12"/>
      <c r="B13" s="12"/>
      <c r="C13" s="12"/>
      <c r="D13" s="12"/>
      <c r="E13" s="12"/>
      <c r="F13" s="24" t="s">
        <v>95</v>
      </c>
      <c r="G13" s="25" t="s">
        <v>139</v>
      </c>
    </row>
    <row r="14" spans="1:7" x14ac:dyDescent="0.35">
      <c r="A14" s="12"/>
      <c r="B14" s="12"/>
      <c r="C14" s="12"/>
      <c r="D14" s="12"/>
      <c r="E14" s="12"/>
      <c r="F14" s="24" t="s">
        <v>107</v>
      </c>
      <c r="G14" s="25" t="s">
        <v>140</v>
      </c>
    </row>
    <row r="15" spans="1:7" x14ac:dyDescent="0.35">
      <c r="A15" s="12"/>
      <c r="B15" s="12"/>
      <c r="C15" s="12"/>
      <c r="D15" s="12"/>
      <c r="E15" s="12"/>
      <c r="F15" s="12"/>
      <c r="G15" s="12"/>
    </row>
    <row r="16" spans="1:7" ht="15" thickBot="1" x14ac:dyDescent="0.4">
      <c r="A16" s="27"/>
      <c r="B16" s="27"/>
      <c r="C16" s="27"/>
      <c r="D16" s="27"/>
      <c r="E16" s="27"/>
      <c r="F16" s="27"/>
      <c r="G16" s="27"/>
    </row>
    <row r="17" spans="1:7" ht="15" thickTop="1" x14ac:dyDescent="0.35">
      <c r="A17" s="33" t="s">
        <v>141</v>
      </c>
      <c r="B17" s="34"/>
      <c r="C17" s="34"/>
      <c r="D17" s="34"/>
      <c r="E17" s="34"/>
      <c r="F17" s="34"/>
      <c r="G17" s="34"/>
    </row>
  </sheetData>
  <mergeCells count="3">
    <mergeCell ref="A2:G2"/>
    <mergeCell ref="A1:G1"/>
    <mergeCell ref="A17:G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O18"/>
  <sheetViews>
    <sheetView showGridLines="0" tabSelected="1" workbookViewId="0">
      <selection activeCell="A8" sqref="A8:XFD9"/>
    </sheetView>
  </sheetViews>
  <sheetFormatPr defaultRowHeight="14.5" x14ac:dyDescent="0.35"/>
  <cols>
    <col min="1" max="1" width="20.54296875" customWidth="1"/>
    <col min="2" max="2" width="15" customWidth="1"/>
    <col min="3" max="3" width="34" customWidth="1"/>
    <col min="4" max="4" width="11" customWidth="1"/>
    <col min="5" max="5" width="24" customWidth="1"/>
    <col min="6" max="6" width="34" customWidth="1"/>
    <col min="7" max="7" width="30" customWidth="1"/>
    <col min="8" max="8" width="24" customWidth="1"/>
    <col min="9" max="9" width="40" customWidth="1"/>
    <col min="10" max="10" width="34" customWidth="1"/>
    <col min="11" max="11" width="16" customWidth="1"/>
    <col min="12" max="12" width="22" customWidth="1"/>
    <col min="13" max="13" width="30" customWidth="1"/>
    <col min="14" max="14" width="16" customWidth="1"/>
    <col min="15" max="15" width="30" customWidth="1"/>
  </cols>
  <sheetData>
    <row r="1" spans="1:15" ht="24" customHeight="1" x14ac:dyDescent="0.35">
      <c r="A1" s="42" t="s">
        <v>0</v>
      </c>
      <c r="B1" s="34"/>
      <c r="C1" s="34"/>
      <c r="D1" s="34"/>
      <c r="E1" s="34"/>
      <c r="F1" s="34"/>
      <c r="G1" s="34"/>
      <c r="H1" s="34"/>
      <c r="I1" s="34"/>
      <c r="J1" s="34"/>
      <c r="K1" s="34"/>
      <c r="L1" s="34"/>
      <c r="M1" s="34"/>
      <c r="N1" s="34"/>
      <c r="O1" s="34"/>
    </row>
    <row r="2" spans="1:15" ht="32" customHeight="1" thickBot="1" x14ac:dyDescent="0.4">
      <c r="A2" s="38" t="s">
        <v>144</v>
      </c>
      <c r="B2" s="34"/>
      <c r="C2" s="34"/>
      <c r="D2" s="34"/>
      <c r="E2" s="34"/>
      <c r="F2" s="34"/>
      <c r="G2" s="34"/>
      <c r="H2" s="34"/>
      <c r="I2" s="34"/>
      <c r="J2" s="34"/>
      <c r="K2" s="34"/>
      <c r="L2" s="34"/>
      <c r="M2" s="34"/>
      <c r="N2" s="34"/>
      <c r="O2" s="34"/>
    </row>
    <row r="3" spans="1:15" x14ac:dyDescent="0.35">
      <c r="A3" s="13" t="s">
        <v>1</v>
      </c>
      <c r="B3" s="43" t="s">
        <v>2</v>
      </c>
      <c r="C3" s="44"/>
      <c r="D3" s="44"/>
      <c r="E3" s="44"/>
      <c r="F3" s="44"/>
      <c r="G3" s="44"/>
      <c r="H3" s="44"/>
      <c r="I3" s="44"/>
      <c r="J3" s="44"/>
      <c r="K3" s="44"/>
      <c r="L3" s="44"/>
      <c r="M3" s="44"/>
      <c r="N3" s="44"/>
      <c r="O3" s="45"/>
    </row>
    <row r="4" spans="1:15" x14ac:dyDescent="0.35">
      <c r="A4" s="14" t="s">
        <v>3</v>
      </c>
      <c r="B4" s="35" t="s">
        <v>143</v>
      </c>
      <c r="C4" s="36"/>
      <c r="D4" s="36"/>
      <c r="E4" s="36"/>
      <c r="F4" s="36"/>
      <c r="G4" s="36"/>
      <c r="H4" s="36"/>
      <c r="I4" s="36"/>
      <c r="J4" s="36"/>
      <c r="K4" s="36"/>
      <c r="L4" s="36"/>
      <c r="M4" s="36"/>
      <c r="N4" s="36"/>
      <c r="O4" s="37"/>
    </row>
    <row r="5" spans="1:15" x14ac:dyDescent="0.35">
      <c r="A5" s="14" t="s">
        <v>4</v>
      </c>
      <c r="B5" s="35" t="s">
        <v>142</v>
      </c>
      <c r="C5" s="36"/>
      <c r="D5" s="36"/>
      <c r="E5" s="36"/>
      <c r="F5" s="36"/>
      <c r="G5" s="36"/>
      <c r="H5" s="36"/>
      <c r="I5" s="36"/>
      <c r="J5" s="36"/>
      <c r="K5" s="36"/>
      <c r="L5" s="36"/>
      <c r="M5" s="36"/>
      <c r="N5" s="36"/>
      <c r="O5" s="37"/>
    </row>
    <row r="6" spans="1:15" ht="15" thickBot="1" x14ac:dyDescent="0.4">
      <c r="A6" s="15" t="s">
        <v>5</v>
      </c>
      <c r="B6" s="39" t="s">
        <v>6</v>
      </c>
      <c r="C6" s="40"/>
      <c r="D6" s="40"/>
      <c r="E6" s="40"/>
      <c r="F6" s="40"/>
      <c r="G6" s="40"/>
      <c r="H6" s="40"/>
      <c r="I6" s="40"/>
      <c r="J6" s="40"/>
      <c r="K6" s="40"/>
      <c r="L6" s="40"/>
      <c r="M6" s="40"/>
      <c r="N6" s="40"/>
      <c r="O6" s="41"/>
    </row>
    <row r="8" spans="1:15" ht="29" x14ac:dyDescent="0.35">
      <c r="A8" s="1" t="s">
        <v>7</v>
      </c>
      <c r="B8" s="2" t="s">
        <v>8</v>
      </c>
      <c r="C8" s="2" t="s">
        <v>9</v>
      </c>
      <c r="D8" s="2" t="s">
        <v>10</v>
      </c>
      <c r="E8" s="2" t="s">
        <v>11</v>
      </c>
      <c r="F8" s="2" t="s">
        <v>12</v>
      </c>
      <c r="G8" s="2" t="s">
        <v>13</v>
      </c>
      <c r="H8" s="2" t="s">
        <v>14</v>
      </c>
      <c r="I8" s="2" t="s">
        <v>15</v>
      </c>
      <c r="J8" s="2" t="s">
        <v>16</v>
      </c>
      <c r="K8" s="2" t="s">
        <v>17</v>
      </c>
      <c r="L8" s="2" t="s">
        <v>18</v>
      </c>
      <c r="M8" s="2" t="s">
        <v>19</v>
      </c>
      <c r="N8" s="2" t="s">
        <v>20</v>
      </c>
      <c r="O8" s="3" t="s">
        <v>21</v>
      </c>
    </row>
    <row r="9" spans="1:15" ht="84" customHeight="1" x14ac:dyDescent="0.35">
      <c r="A9" s="4" t="s">
        <v>22</v>
      </c>
      <c r="B9" s="5" t="s">
        <v>23</v>
      </c>
      <c r="C9" s="5" t="s">
        <v>24</v>
      </c>
      <c r="D9" s="6" t="s">
        <v>25</v>
      </c>
      <c r="E9" s="5" t="s">
        <v>26</v>
      </c>
      <c r="F9" s="5" t="s">
        <v>27</v>
      </c>
      <c r="G9" s="5" t="s">
        <v>28</v>
      </c>
      <c r="H9" s="5" t="s">
        <v>29</v>
      </c>
      <c r="I9" s="5" t="s">
        <v>145</v>
      </c>
      <c r="J9" s="5" t="s">
        <v>30</v>
      </c>
      <c r="K9" s="6" t="s">
        <v>31</v>
      </c>
      <c r="L9" s="5" t="s">
        <v>32</v>
      </c>
      <c r="M9" s="5" t="s">
        <v>33</v>
      </c>
      <c r="N9" s="6" t="s">
        <v>34</v>
      </c>
      <c r="O9" s="7" t="s">
        <v>35</v>
      </c>
    </row>
    <row r="10" spans="1:15" ht="84" customHeight="1" x14ac:dyDescent="0.35">
      <c r="A10" s="4" t="s">
        <v>36</v>
      </c>
      <c r="B10" s="5" t="s">
        <v>23</v>
      </c>
      <c r="C10" s="5" t="s">
        <v>37</v>
      </c>
      <c r="D10" s="6" t="s">
        <v>25</v>
      </c>
      <c r="E10" s="5" t="s">
        <v>38</v>
      </c>
      <c r="F10" s="5" t="s">
        <v>39</v>
      </c>
      <c r="G10" s="5" t="s">
        <v>40</v>
      </c>
      <c r="H10" s="5" t="s">
        <v>41</v>
      </c>
      <c r="I10" s="5" t="s">
        <v>42</v>
      </c>
      <c r="J10" s="5" t="s">
        <v>43</v>
      </c>
      <c r="K10" s="6" t="s">
        <v>31</v>
      </c>
      <c r="L10" s="5" t="s">
        <v>32</v>
      </c>
      <c r="M10" s="5" t="s">
        <v>33</v>
      </c>
      <c r="N10" s="6" t="s">
        <v>34</v>
      </c>
      <c r="O10" s="7" t="s">
        <v>44</v>
      </c>
    </row>
    <row r="11" spans="1:15" ht="84" customHeight="1" x14ac:dyDescent="0.35">
      <c r="A11" s="4" t="s">
        <v>45</v>
      </c>
      <c r="B11" s="5" t="s">
        <v>46</v>
      </c>
      <c r="C11" s="5" t="s">
        <v>47</v>
      </c>
      <c r="D11" s="6" t="s">
        <v>48</v>
      </c>
      <c r="E11" s="5" t="s">
        <v>49</v>
      </c>
      <c r="F11" s="5" t="s">
        <v>50</v>
      </c>
      <c r="G11" s="5" t="s">
        <v>51</v>
      </c>
      <c r="H11" s="5" t="s">
        <v>52</v>
      </c>
      <c r="I11" s="5" t="s">
        <v>53</v>
      </c>
      <c r="J11" s="5" t="s">
        <v>54</v>
      </c>
      <c r="K11" s="6" t="s">
        <v>31</v>
      </c>
      <c r="L11" s="5" t="s">
        <v>55</v>
      </c>
      <c r="M11" s="5" t="s">
        <v>56</v>
      </c>
      <c r="N11" s="6" t="s">
        <v>34</v>
      </c>
      <c r="O11" s="7" t="s">
        <v>57</v>
      </c>
    </row>
    <row r="12" spans="1:15" ht="84" customHeight="1" x14ac:dyDescent="0.35">
      <c r="A12" s="4" t="s">
        <v>58</v>
      </c>
      <c r="B12" s="5" t="s">
        <v>46</v>
      </c>
      <c r="C12" s="5" t="s">
        <v>59</v>
      </c>
      <c r="D12" s="6" t="s">
        <v>48</v>
      </c>
      <c r="E12" s="5" t="s">
        <v>60</v>
      </c>
      <c r="F12" s="5" t="s">
        <v>61</v>
      </c>
      <c r="G12" s="5" t="s">
        <v>51</v>
      </c>
      <c r="H12" s="5" t="s">
        <v>62</v>
      </c>
      <c r="I12" s="5" t="s">
        <v>63</v>
      </c>
      <c r="J12" s="5" t="s">
        <v>64</v>
      </c>
      <c r="K12" s="6" t="s">
        <v>31</v>
      </c>
      <c r="L12" s="5" t="s">
        <v>55</v>
      </c>
      <c r="M12" s="5" t="s">
        <v>65</v>
      </c>
      <c r="N12" s="6" t="s">
        <v>34</v>
      </c>
      <c r="O12" s="7" t="s">
        <v>66</v>
      </c>
    </row>
    <row r="13" spans="1:15" ht="84" customHeight="1" x14ac:dyDescent="0.35">
      <c r="A13" s="4" t="s">
        <v>67</v>
      </c>
      <c r="B13" s="5" t="s">
        <v>68</v>
      </c>
      <c r="C13" s="5" t="s">
        <v>69</v>
      </c>
      <c r="D13" s="6" t="s">
        <v>25</v>
      </c>
      <c r="E13" s="5" t="s">
        <v>70</v>
      </c>
      <c r="F13" s="5" t="s">
        <v>71</v>
      </c>
      <c r="G13" s="5" t="s">
        <v>51</v>
      </c>
      <c r="H13" s="5" t="s">
        <v>62</v>
      </c>
      <c r="I13" s="5" t="s">
        <v>72</v>
      </c>
      <c r="J13" s="5" t="s">
        <v>73</v>
      </c>
      <c r="K13" s="6" t="s">
        <v>31</v>
      </c>
      <c r="L13" s="5" t="s">
        <v>74</v>
      </c>
      <c r="M13" s="5" t="s">
        <v>75</v>
      </c>
      <c r="N13" s="6" t="s">
        <v>34</v>
      </c>
      <c r="O13" s="7" t="s">
        <v>76</v>
      </c>
    </row>
    <row r="14" spans="1:15" ht="84" customHeight="1" x14ac:dyDescent="0.35">
      <c r="A14" s="4" t="s">
        <v>77</v>
      </c>
      <c r="B14" s="5" t="s">
        <v>68</v>
      </c>
      <c r="C14" s="5" t="s">
        <v>78</v>
      </c>
      <c r="D14" s="6" t="s">
        <v>25</v>
      </c>
      <c r="E14" s="5" t="s">
        <v>79</v>
      </c>
      <c r="F14" s="5" t="s">
        <v>80</v>
      </c>
      <c r="G14" s="5" t="s">
        <v>81</v>
      </c>
      <c r="H14" s="5" t="s">
        <v>82</v>
      </c>
      <c r="I14" s="5" t="s">
        <v>83</v>
      </c>
      <c r="J14" s="5" t="s">
        <v>84</v>
      </c>
      <c r="K14" s="6" t="s">
        <v>31</v>
      </c>
      <c r="L14" s="5" t="s">
        <v>74</v>
      </c>
      <c r="M14" s="5" t="s">
        <v>75</v>
      </c>
      <c r="N14" s="6" t="s">
        <v>34</v>
      </c>
      <c r="O14" s="7" t="s">
        <v>85</v>
      </c>
    </row>
    <row r="15" spans="1:15" ht="84" customHeight="1" x14ac:dyDescent="0.35">
      <c r="A15" s="4" t="s">
        <v>86</v>
      </c>
      <c r="B15" s="5" t="s">
        <v>68</v>
      </c>
      <c r="C15" s="5" t="s">
        <v>87</v>
      </c>
      <c r="D15" s="6" t="s">
        <v>48</v>
      </c>
      <c r="E15" s="5" t="s">
        <v>88</v>
      </c>
      <c r="F15" s="5" t="s">
        <v>89</v>
      </c>
      <c r="G15" s="5" t="s">
        <v>90</v>
      </c>
      <c r="H15" s="5" t="s">
        <v>91</v>
      </c>
      <c r="I15" s="5" t="s">
        <v>92</v>
      </c>
      <c r="J15" s="5" t="s">
        <v>93</v>
      </c>
      <c r="K15" s="6" t="s">
        <v>31</v>
      </c>
      <c r="L15" s="5" t="s">
        <v>74</v>
      </c>
      <c r="M15" s="5" t="s">
        <v>75</v>
      </c>
      <c r="N15" s="6" t="s">
        <v>34</v>
      </c>
      <c r="O15" s="7" t="s">
        <v>94</v>
      </c>
    </row>
    <row r="16" spans="1:15" ht="84" customHeight="1" x14ac:dyDescent="0.35">
      <c r="A16" s="4" t="s">
        <v>95</v>
      </c>
      <c r="B16" s="5" t="s">
        <v>96</v>
      </c>
      <c r="C16" s="5" t="s">
        <v>97</v>
      </c>
      <c r="D16" s="6" t="s">
        <v>25</v>
      </c>
      <c r="E16" s="5" t="s">
        <v>98</v>
      </c>
      <c r="F16" s="5" t="s">
        <v>99</v>
      </c>
      <c r="G16" s="5" t="s">
        <v>100</v>
      </c>
      <c r="H16" s="5" t="s">
        <v>101</v>
      </c>
      <c r="I16" s="5" t="s">
        <v>102</v>
      </c>
      <c r="J16" s="5" t="s">
        <v>103</v>
      </c>
      <c r="K16" s="6" t="s">
        <v>31</v>
      </c>
      <c r="L16" s="5" t="s">
        <v>104</v>
      </c>
      <c r="M16" s="5" t="s">
        <v>105</v>
      </c>
      <c r="N16" s="6" t="s">
        <v>34</v>
      </c>
      <c r="O16" s="7" t="s">
        <v>106</v>
      </c>
    </row>
    <row r="17" spans="1:15" ht="84" customHeight="1" x14ac:dyDescent="0.35">
      <c r="A17" s="4" t="s">
        <v>107</v>
      </c>
      <c r="B17" s="5" t="s">
        <v>96</v>
      </c>
      <c r="C17" s="5" t="s">
        <v>108</v>
      </c>
      <c r="D17" s="6" t="s">
        <v>25</v>
      </c>
      <c r="E17" s="5" t="s">
        <v>109</v>
      </c>
      <c r="F17" s="5" t="s">
        <v>110</v>
      </c>
      <c r="G17" s="5" t="s">
        <v>111</v>
      </c>
      <c r="H17" s="5" t="s">
        <v>112</v>
      </c>
      <c r="I17" s="5" t="s">
        <v>113</v>
      </c>
      <c r="J17" s="5" t="s">
        <v>114</v>
      </c>
      <c r="K17" s="6" t="s">
        <v>31</v>
      </c>
      <c r="L17" s="5" t="s">
        <v>104</v>
      </c>
      <c r="M17" s="5" t="s">
        <v>105</v>
      </c>
      <c r="N17" s="6" t="s">
        <v>34</v>
      </c>
      <c r="O17" s="7" t="s">
        <v>115</v>
      </c>
    </row>
    <row r="18" spans="1:15" ht="84" customHeight="1" x14ac:dyDescent="0.35">
      <c r="A18" s="8" t="s">
        <v>116</v>
      </c>
      <c r="B18" s="9" t="s">
        <v>96</v>
      </c>
      <c r="C18" s="9" t="s">
        <v>117</v>
      </c>
      <c r="D18" s="10" t="s">
        <v>48</v>
      </c>
      <c r="E18" s="9" t="s">
        <v>118</v>
      </c>
      <c r="F18" s="9" t="s">
        <v>119</v>
      </c>
      <c r="G18" s="9" t="s">
        <v>120</v>
      </c>
      <c r="H18" s="9" t="s">
        <v>121</v>
      </c>
      <c r="I18" s="9" t="s">
        <v>122</v>
      </c>
      <c r="J18" s="9" t="s">
        <v>123</v>
      </c>
      <c r="K18" s="10" t="s">
        <v>31</v>
      </c>
      <c r="L18" s="9" t="s">
        <v>104</v>
      </c>
      <c r="M18" s="9" t="s">
        <v>124</v>
      </c>
      <c r="N18" s="10" t="s">
        <v>34</v>
      </c>
      <c r="O18" s="11" t="s">
        <v>125</v>
      </c>
    </row>
  </sheetData>
  <mergeCells count="6">
    <mergeCell ref="B4:O4"/>
    <mergeCell ref="A2:O2"/>
    <mergeCell ref="B6:O6"/>
    <mergeCell ref="A1:O1"/>
    <mergeCell ref="B3:O3"/>
    <mergeCell ref="B5:O5"/>
  </mergeCells>
  <conditionalFormatting sqref="N9">
    <cfRule type="expression" dxfId="78" priority="1">
      <formula>$N9="Pass"</formula>
    </cfRule>
    <cfRule type="expression" dxfId="77" priority="2">
      <formula>$N9="Fail"</formula>
    </cfRule>
    <cfRule type="expression" dxfId="76" priority="3">
      <formula>$N9="Blocked"</formula>
    </cfRule>
    <cfRule type="expression" dxfId="75" priority="4">
      <formula>$N9="Deferred"</formula>
    </cfRule>
  </conditionalFormatting>
  <conditionalFormatting sqref="D9">
    <cfRule type="expression" dxfId="74" priority="5">
      <formula>$D9="High"</formula>
    </cfRule>
    <cfRule type="expression" dxfId="73" priority="6">
      <formula>$D9="Medium"</formula>
    </cfRule>
  </conditionalFormatting>
  <conditionalFormatting sqref="N10">
    <cfRule type="expression" dxfId="72" priority="7">
      <formula>$N10="Pass"</formula>
    </cfRule>
    <cfRule type="expression" dxfId="71" priority="8">
      <formula>$N10="Fail"</formula>
    </cfRule>
    <cfRule type="expression" dxfId="70" priority="9">
      <formula>$N10="Blocked"</formula>
    </cfRule>
    <cfRule type="expression" dxfId="69" priority="10">
      <formula>$N10="Deferred"</formula>
    </cfRule>
  </conditionalFormatting>
  <conditionalFormatting sqref="D10">
    <cfRule type="expression" dxfId="68" priority="11">
      <formula>$D10="High"</formula>
    </cfRule>
    <cfRule type="expression" dxfId="67" priority="12">
      <formula>$D10="Medium"</formula>
    </cfRule>
  </conditionalFormatting>
  <conditionalFormatting sqref="N11">
    <cfRule type="expression" dxfId="66" priority="13">
      <formula>$N11="Pass"</formula>
    </cfRule>
    <cfRule type="expression" dxfId="65" priority="14">
      <formula>$N11="Fail"</formula>
    </cfRule>
    <cfRule type="expression" dxfId="64" priority="15">
      <formula>$N11="Blocked"</formula>
    </cfRule>
    <cfRule type="expression" dxfId="63" priority="16">
      <formula>$N11="Deferred"</formula>
    </cfRule>
  </conditionalFormatting>
  <conditionalFormatting sqref="D11">
    <cfRule type="expression" dxfId="62" priority="17">
      <formula>$D11="High"</formula>
    </cfRule>
    <cfRule type="expression" dxfId="61" priority="18">
      <formula>$D11="Medium"</formula>
    </cfRule>
  </conditionalFormatting>
  <conditionalFormatting sqref="N12">
    <cfRule type="expression" dxfId="60" priority="19">
      <formula>$N12="Pass"</formula>
    </cfRule>
    <cfRule type="expression" dxfId="59" priority="20">
      <formula>$N12="Fail"</formula>
    </cfRule>
    <cfRule type="expression" dxfId="58" priority="21">
      <formula>$N12="Blocked"</formula>
    </cfRule>
    <cfRule type="expression" dxfId="57" priority="22">
      <formula>$N12="Deferred"</formula>
    </cfRule>
  </conditionalFormatting>
  <conditionalFormatting sqref="D12">
    <cfRule type="expression" dxfId="56" priority="23">
      <formula>$D12="High"</formula>
    </cfRule>
    <cfRule type="expression" dxfId="55" priority="24">
      <formula>$D12="Medium"</formula>
    </cfRule>
  </conditionalFormatting>
  <conditionalFormatting sqref="N13">
    <cfRule type="expression" dxfId="54" priority="25">
      <formula>$N13="Pass"</formula>
    </cfRule>
    <cfRule type="expression" dxfId="53" priority="26">
      <formula>$N13="Fail"</formula>
    </cfRule>
    <cfRule type="expression" dxfId="52" priority="27">
      <formula>$N13="Blocked"</formula>
    </cfRule>
    <cfRule type="expression" dxfId="51" priority="28">
      <formula>$N13="Deferred"</formula>
    </cfRule>
  </conditionalFormatting>
  <conditionalFormatting sqref="D13">
    <cfRule type="expression" dxfId="50" priority="29">
      <formula>$D13="High"</formula>
    </cfRule>
    <cfRule type="expression" dxfId="49" priority="30">
      <formula>$D13="Medium"</formula>
    </cfRule>
  </conditionalFormatting>
  <conditionalFormatting sqref="N14">
    <cfRule type="expression" dxfId="48" priority="31">
      <formula>$N14="Pass"</formula>
    </cfRule>
    <cfRule type="expression" dxfId="47" priority="32">
      <formula>$N14="Fail"</formula>
    </cfRule>
    <cfRule type="expression" dxfId="46" priority="33">
      <formula>$N14="Blocked"</formula>
    </cfRule>
    <cfRule type="expression" dxfId="45" priority="34">
      <formula>$N14="Deferred"</formula>
    </cfRule>
  </conditionalFormatting>
  <conditionalFormatting sqref="D14">
    <cfRule type="expression" dxfId="44" priority="35">
      <formula>$D14="High"</formula>
    </cfRule>
    <cfRule type="expression" dxfId="43" priority="36">
      <formula>$D14="Medium"</formula>
    </cfRule>
  </conditionalFormatting>
  <conditionalFormatting sqref="N15">
    <cfRule type="expression" dxfId="42" priority="37">
      <formula>$N15="Pass"</formula>
    </cfRule>
    <cfRule type="expression" dxfId="41" priority="38">
      <formula>$N15="Fail"</formula>
    </cfRule>
    <cfRule type="expression" dxfId="40" priority="39">
      <formula>$N15="Blocked"</formula>
    </cfRule>
    <cfRule type="expression" dxfId="39" priority="40">
      <formula>$N15="Deferred"</formula>
    </cfRule>
  </conditionalFormatting>
  <conditionalFormatting sqref="D15">
    <cfRule type="expression" dxfId="38" priority="41">
      <formula>$D15="High"</formula>
    </cfRule>
    <cfRule type="expression" dxfId="37" priority="42">
      <formula>$D15="Medium"</formula>
    </cfRule>
  </conditionalFormatting>
  <conditionalFormatting sqref="N16">
    <cfRule type="expression" dxfId="36" priority="43">
      <formula>$N16="Pass"</formula>
    </cfRule>
    <cfRule type="expression" dxfId="35" priority="44">
      <formula>$N16="Fail"</formula>
    </cfRule>
    <cfRule type="expression" dxfId="34" priority="45">
      <formula>$N16="Blocked"</formula>
    </cfRule>
    <cfRule type="expression" dxfId="33" priority="46">
      <formula>$N16="Deferred"</formula>
    </cfRule>
  </conditionalFormatting>
  <conditionalFormatting sqref="D16">
    <cfRule type="expression" dxfId="32" priority="47">
      <formula>$D16="High"</formula>
    </cfRule>
    <cfRule type="expression" dxfId="31" priority="48">
      <formula>$D16="Medium"</formula>
    </cfRule>
  </conditionalFormatting>
  <conditionalFormatting sqref="N17">
    <cfRule type="expression" dxfId="30" priority="49">
      <formula>$N17="Pass"</formula>
    </cfRule>
    <cfRule type="expression" dxfId="29" priority="50">
      <formula>$N17="Fail"</formula>
    </cfRule>
    <cfRule type="expression" dxfId="28" priority="51">
      <formula>$N17="Blocked"</formula>
    </cfRule>
    <cfRule type="expression" dxfId="27" priority="52">
      <formula>$N17="Deferred"</formula>
    </cfRule>
  </conditionalFormatting>
  <conditionalFormatting sqref="D17">
    <cfRule type="expression" dxfId="26" priority="53">
      <formula>$D17="High"</formula>
    </cfRule>
    <cfRule type="expression" dxfId="25" priority="54">
      <formula>$D17="Medium"</formula>
    </cfRule>
  </conditionalFormatting>
  <conditionalFormatting sqref="N18">
    <cfRule type="expression" dxfId="24" priority="55">
      <formula>$N18="Pass"</formula>
    </cfRule>
    <cfRule type="expression" dxfId="23" priority="56">
      <formula>$N18="Fail"</formula>
    </cfRule>
    <cfRule type="expression" dxfId="22" priority="57">
      <formula>$N18="Blocked"</formula>
    </cfRule>
    <cfRule type="expression" dxfId="21" priority="58">
      <formula>$N18="Deferred"</formula>
    </cfRule>
  </conditionalFormatting>
  <conditionalFormatting sqref="D18">
    <cfRule type="expression" dxfId="20" priority="59">
      <formula>$D18="High"</formula>
    </cfRule>
    <cfRule type="expression" dxfId="19" priority="60">
      <formula>$D18="Medium"</formula>
    </cfRule>
  </conditionalFormatting>
  <dataValidations count="1">
    <dataValidation type="list" allowBlank="1" sqref="N9:N18" xr:uid="{00000000-0002-0000-0000-000000000000}">
      <formula1>"Not Run,Pass,Fail,Blocked,Deferred"</formula1>
    </dataValidation>
  </dataValidations>
  <hyperlinks>
    <hyperlink ref="B3" r:id="rId1" xr:uid="{93D15A03-3829-4243-8ADD-91BE3289171C}"/>
  </hyperlinks>
  <pageMargins left="0.7" right="0.7" top="0.75" bottom="0.75" header="0.3" footer="0.3"/>
  <pageSetup orientation="portrait" horizontalDpi="300" verticalDpi="300" r:id="rId2"/>
  <drawing r:id="rId3"/>
  <legacyDrawing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 Buyanovski</dc:creator>
  <cp:lastModifiedBy>Anton Buyanovski</cp:lastModifiedBy>
  <dcterms:created xsi:type="dcterms:W3CDTF">2026-03-27T18:39:24Z</dcterms:created>
  <dcterms:modified xsi:type="dcterms:W3CDTF">2026-03-27T18:39:24Z</dcterms:modified>
</cp:coreProperties>
</file>